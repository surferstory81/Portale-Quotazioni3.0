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ustom.xml" ContentType="application/vnd.openxmlformats-officedocument.custom-properties+xml"/>
  <Override PartName="/docMetadata/LabelInfo.xml" ContentType="application/vnd.ms-office.classificationlabel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customXml/itemProps5.xml" ContentType="application/vnd.openxmlformats-officedocument.customXmlProperties+xml"/>
  <Override PartName="/customXml/itemProps4.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6.xml" ContentType="application/vnd.openxmlformats-officedocument.customXmlProperties+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6" Type="http://schemas.microsoft.com/office/2020/02/relationships/classificationlabels" Target="docMetadata/LabelInfo.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24226"/>
  <mc:AlternateContent xmlns:mc="http://schemas.openxmlformats.org/markup-compatibility/2006">
    <mc:Choice Requires="x15">
      <x15ac:absPath xmlns:x15ac="http://schemas.microsoft.com/office/spreadsheetml/2010/11/ac" url="https://mysites.credit-agricole.it/teams/Quotazioni-Progettuali-Infra/Shared Documents/2026/02 - Quotazioni Progetti in Corso/PRJ0103034 - [LE - K1 - K7 ] - Evoluzione Piattaforme Credito Anomalo EPC X/"/>
    </mc:Choice>
  </mc:AlternateContent>
  <bookViews>
    <workbookView xWindow="-108" yWindow="-108" windowWidth="23256" windowHeight="13896" tabRatio="720" firstSheet="5" activeTab="5"/>
  </bookViews>
  <sheets>
    <sheet name="SQL Server" sheetId="10" state="hidden" r:id="rId1"/>
    <sheet name="Backlog" sheetId="26" r:id="rId2"/>
    <sheet name="ACN Costo Infra" sheetId="11" r:id="rId3"/>
    <sheet name="ACN Riepilogo Costo Infra" sheetId="17" r:id="rId4"/>
    <sheet name="Quadro Spese" sheetId="19" r:id="rId5"/>
    <sheet name="Riepilogo Quadro Spese" sheetId="20" r:id="rId6"/>
    <sheet name="Tariffario" sheetId="24" r:id="rId7"/>
    <sheet name="Fasce Budget CTO" sheetId="21" r:id="rId8"/>
    <sheet name="Budget allocato" sheetId="22" r:id="rId9"/>
    <sheet name="ACN Listino licenze" sheetId="7" r:id="rId10"/>
    <sheet name="ACN Richieste" sheetId="18" state="hidden" r:id="rId11"/>
    <sheet name="ACN" sheetId="15" r:id="rId12"/>
    <sheet name="ACN Cloud" sheetId="25" r:id="rId13"/>
    <sheet name="ACN Decommisioning" sheetId="16" state="hidden" r:id="rId14"/>
    <sheet name="Riepilogo - Scheda da passare" sheetId="4" state="hidden" r:id="rId15"/>
  </sheets>
  <calcPr calcId="162912" calcComplete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20" l="1"/>
  <c r="H47" i="11"/>
  <c r="M47" i="11"/>
  <c r="C21" i="7"/>
  <c r="D21" i="7"/>
  <c r="C20" i="7"/>
  <c r="K46" i="11"/>
  <c r="L46" i="11"/>
  <c r="C19" i="7"/>
  <c r="J45" i="11"/>
  <c r="J8" i="11"/>
  <c r="K8" i="11"/>
  <c r="O8" i="11"/>
  <c r="L8" i="11"/>
  <c r="M8" i="11"/>
  <c r="N8" i="11"/>
  <c r="C18" i="7"/>
  <c r="E18" i="7"/>
  <c r="C17" i="7"/>
  <c r="M43" i="11"/>
  <c r="M56" i="11"/>
  <c r="I11" i="11"/>
  <c r="I9" i="11"/>
  <c r="I8" i="11"/>
  <c r="X13" i="19"/>
  <c r="X12" i="19"/>
  <c r="X8" i="19"/>
  <c r="X7" i="19"/>
  <c r="X6" i="19"/>
  <c r="X5" i="19"/>
  <c r="X4" i="19"/>
  <c r="X3" i="19"/>
  <c r="A15" i="20"/>
  <c r="A16" i="20"/>
  <c r="A14" i="20"/>
  <c r="J11" i="19"/>
  <c r="K11" i="19"/>
  <c r="M11" i="19"/>
  <c r="L11" i="19"/>
  <c r="X11" i="19"/>
  <c r="J10" i="11"/>
  <c r="O10" i="11"/>
  <c r="E21" i="24"/>
  <c r="E42" i="24"/>
  <c r="E41" i="24"/>
  <c r="E40" i="24"/>
  <c r="E43" i="24"/>
  <c r="Y20" i="19"/>
  <c r="Z20" i="19"/>
  <c r="P5" i="19"/>
  <c r="Y21" i="19"/>
  <c r="Z21" i="19"/>
  <c r="P6" i="19"/>
  <c r="Y22" i="19"/>
  <c r="Z22" i="19"/>
  <c r="P8" i="19"/>
  <c r="Y23" i="19"/>
  <c r="Z23" i="19"/>
  <c r="P7" i="19"/>
  <c r="Y7" i="19"/>
  <c r="Y19" i="19"/>
  <c r="Z19" i="19"/>
  <c r="P4" i="19"/>
  <c r="E36" i="24"/>
  <c r="E35" i="24"/>
  <c r="E34" i="24"/>
  <c r="E33" i="24"/>
  <c r="E32" i="24"/>
  <c r="E31" i="24"/>
  <c r="E37" i="24"/>
  <c r="Y18" i="19"/>
  <c r="Z18" i="19"/>
  <c r="P3" i="19"/>
  <c r="E27" i="24"/>
  <c r="E26" i="24"/>
  <c r="E25" i="24"/>
  <c r="E20" i="24"/>
  <c r="E16" i="24"/>
  <c r="H34" i="11"/>
  <c r="J34" i="11"/>
  <c r="J20" i="11"/>
  <c r="K20" i="11"/>
  <c r="L20" i="11"/>
  <c r="O20" i="11"/>
  <c r="M20" i="11"/>
  <c r="M26" i="11"/>
  <c r="N20" i="11"/>
  <c r="I20" i="11"/>
  <c r="J19" i="11"/>
  <c r="K19" i="11"/>
  <c r="L19" i="11"/>
  <c r="M19" i="11"/>
  <c r="N19" i="11"/>
  <c r="I19" i="11"/>
  <c r="O19" i="11"/>
  <c r="J18" i="11"/>
  <c r="K18" i="11"/>
  <c r="L18" i="11"/>
  <c r="M18" i="11"/>
  <c r="N18" i="11"/>
  <c r="I18" i="11"/>
  <c r="O18" i="11"/>
  <c r="J17" i="11"/>
  <c r="K17" i="11"/>
  <c r="L17" i="11"/>
  <c r="O17" i="11"/>
  <c r="M17" i="11"/>
  <c r="N17" i="11"/>
  <c r="I17" i="11"/>
  <c r="J16" i="11"/>
  <c r="O16" i="11"/>
  <c r="K16" i="11"/>
  <c r="L16" i="11"/>
  <c r="M16" i="11"/>
  <c r="N16" i="11"/>
  <c r="I16" i="11"/>
  <c r="J15" i="11"/>
  <c r="K15" i="11"/>
  <c r="L15" i="11"/>
  <c r="M15" i="11"/>
  <c r="N15" i="11"/>
  <c r="I15" i="11"/>
  <c r="O15" i="11"/>
  <c r="J14" i="11"/>
  <c r="K14" i="11"/>
  <c r="L14" i="11"/>
  <c r="M14" i="11"/>
  <c r="N14" i="11"/>
  <c r="I14" i="11"/>
  <c r="O14" i="11"/>
  <c r="J13" i="11"/>
  <c r="O13" i="11"/>
  <c r="K13" i="11"/>
  <c r="L13" i="11"/>
  <c r="M13" i="11"/>
  <c r="N13" i="11"/>
  <c r="I13" i="11"/>
  <c r="J12" i="11"/>
  <c r="K12" i="11"/>
  <c r="L12" i="11"/>
  <c r="M12" i="11"/>
  <c r="N12" i="11"/>
  <c r="I12" i="11"/>
  <c r="O12" i="11"/>
  <c r="J11" i="11"/>
  <c r="O11" i="11"/>
  <c r="K11" i="11"/>
  <c r="L11" i="11"/>
  <c r="M11" i="11"/>
  <c r="N11" i="11"/>
  <c r="J9" i="11"/>
  <c r="O9" i="11"/>
  <c r="K9" i="11"/>
  <c r="L9" i="11"/>
  <c r="M9" i="11"/>
  <c r="N9" i="11"/>
  <c r="J7" i="11"/>
  <c r="K7" i="11"/>
  <c r="L7" i="11"/>
  <c r="M7" i="11"/>
  <c r="N7" i="11"/>
  <c r="I7" i="11"/>
  <c r="O7" i="11"/>
  <c r="J6" i="11"/>
  <c r="J26" i="11"/>
  <c r="D8" i="17"/>
  <c r="D20" i="17"/>
  <c r="K6" i="11"/>
  <c r="L6" i="11"/>
  <c r="M6" i="11"/>
  <c r="N6" i="11"/>
  <c r="I6" i="11"/>
  <c r="I26" i="11"/>
  <c r="C8" i="17"/>
  <c r="C20" i="17"/>
  <c r="Z27" i="19"/>
  <c r="P12" i="19"/>
  <c r="J5" i="11"/>
  <c r="K5" i="11"/>
  <c r="K26" i="11"/>
  <c r="L5" i="11"/>
  <c r="L26" i="11"/>
  <c r="M5" i="11"/>
  <c r="N5" i="11"/>
  <c r="N26" i="11"/>
  <c r="I5" i="11"/>
  <c r="C15" i="7"/>
  <c r="E15" i="7"/>
  <c r="I24" i="11"/>
  <c r="O24" i="11"/>
  <c r="I23" i="11"/>
  <c r="O23" i="11"/>
  <c r="I22" i="11"/>
  <c r="O22" i="11"/>
  <c r="I21" i="11"/>
  <c r="L2" i="19"/>
  <c r="K2" i="19"/>
  <c r="M2" i="19"/>
  <c r="X2" i="19"/>
  <c r="D56" i="7"/>
  <c r="E56" i="7"/>
  <c r="J92" i="11"/>
  <c r="O92" i="11"/>
  <c r="I92" i="11"/>
  <c r="J91" i="11"/>
  <c r="J90" i="11"/>
  <c r="J89" i="11"/>
  <c r="J88" i="11"/>
  <c r="J87" i="11"/>
  <c r="J86" i="11"/>
  <c r="J85" i="11"/>
  <c r="O85" i="11"/>
  <c r="J84" i="11"/>
  <c r="J83" i="11"/>
  <c r="J82" i="11"/>
  <c r="O82" i="11"/>
  <c r="J81" i="11"/>
  <c r="J80" i="11"/>
  <c r="J79" i="11"/>
  <c r="J78" i="11"/>
  <c r="J77" i="11"/>
  <c r="J76" i="11"/>
  <c r="J75" i="11"/>
  <c r="J74" i="11"/>
  <c r="J73" i="11"/>
  <c r="J72" i="11"/>
  <c r="O72" i="11"/>
  <c r="J94" i="11"/>
  <c r="D9" i="17"/>
  <c r="D21" i="17"/>
  <c r="Y28" i="19"/>
  <c r="I72" i="11"/>
  <c r="I73" i="11"/>
  <c r="O73" i="11"/>
  <c r="I74" i="11"/>
  <c r="I94" i="11"/>
  <c r="C9" i="17"/>
  <c r="C21" i="17"/>
  <c r="I91" i="11"/>
  <c r="O91" i="11"/>
  <c r="I90" i="11"/>
  <c r="O90" i="11"/>
  <c r="I89" i="11"/>
  <c r="I88" i="11"/>
  <c r="O88" i="11"/>
  <c r="I87" i="11"/>
  <c r="O87" i="11"/>
  <c r="I86" i="11"/>
  <c r="O86" i="11"/>
  <c r="I85" i="11"/>
  <c r="I84" i="11"/>
  <c r="O84" i="11"/>
  <c r="I83" i="11"/>
  <c r="I82" i="11"/>
  <c r="I81" i="11"/>
  <c r="O81" i="11"/>
  <c r="I80" i="11"/>
  <c r="O80" i="11"/>
  <c r="I79" i="11"/>
  <c r="O79" i="11"/>
  <c r="I78" i="11"/>
  <c r="O78" i="11"/>
  <c r="I77" i="11"/>
  <c r="I76" i="11"/>
  <c r="O76" i="11"/>
  <c r="I75" i="11"/>
  <c r="O75" i="11"/>
  <c r="E11" i="24"/>
  <c r="E10" i="24"/>
  <c r="E12" i="24"/>
  <c r="E3" i="24"/>
  <c r="E6" i="24"/>
  <c r="E4" i="24"/>
  <c r="E5" i="24"/>
  <c r="B16" i="20"/>
  <c r="B15" i="20"/>
  <c r="B14" i="20"/>
  <c r="A9" i="20"/>
  <c r="A8" i="20"/>
  <c r="B7" i="20"/>
  <c r="A7" i="20"/>
  <c r="B6" i="20"/>
  <c r="A6" i="20"/>
  <c r="B5" i="20"/>
  <c r="A5" i="20"/>
  <c r="B4" i="20"/>
  <c r="A4" i="20"/>
  <c r="B3" i="20"/>
  <c r="A3" i="20"/>
  <c r="Y26" i="19"/>
  <c r="O5" i="19"/>
  <c r="V9" i="19"/>
  <c r="E20" i="22"/>
  <c r="D20" i="22"/>
  <c r="P2" i="19"/>
  <c r="Y2" i="19"/>
  <c r="T15" i="19"/>
  <c r="O8" i="19"/>
  <c r="I62" i="11"/>
  <c r="I51" i="11"/>
  <c r="J51" i="11"/>
  <c r="K51" i="11"/>
  <c r="L51" i="11"/>
  <c r="M51" i="11"/>
  <c r="N51" i="11"/>
  <c r="I52" i="11"/>
  <c r="I39" i="11"/>
  <c r="J39" i="11"/>
  <c r="K39" i="11"/>
  <c r="L39" i="11"/>
  <c r="M39" i="11"/>
  <c r="N39" i="11"/>
  <c r="F51" i="18"/>
  <c r="F52" i="18"/>
  <c r="B61" i="18"/>
  <c r="F39" i="18"/>
  <c r="F22" i="18"/>
  <c r="F9" i="18"/>
  <c r="F53" i="18"/>
  <c r="F54" i="18"/>
  <c r="F55" i="18"/>
  <c r="F56" i="18"/>
  <c r="F57" i="18"/>
  <c r="B66" i="18"/>
  <c r="I28" i="11"/>
  <c r="M28" i="11"/>
  <c r="T9" i="16"/>
  <c r="T8" i="16"/>
  <c r="T7" i="16"/>
  <c r="T6" i="16"/>
  <c r="T5" i="16"/>
  <c r="I53" i="11"/>
  <c r="D55" i="7"/>
  <c r="E55" i="7"/>
  <c r="D54" i="7"/>
  <c r="E54" i="7"/>
  <c r="E53" i="7"/>
  <c r="C53" i="7"/>
  <c r="I50" i="11"/>
  <c r="E52" i="7"/>
  <c r="C52" i="7"/>
  <c r="I49" i="11"/>
  <c r="I40" i="11"/>
  <c r="J40" i="11"/>
  <c r="K40" i="11"/>
  <c r="L40" i="11"/>
  <c r="M40" i="11"/>
  <c r="N40" i="11"/>
  <c r="H9" i="18"/>
  <c r="G9" i="18"/>
  <c r="H39" i="18"/>
  <c r="G39" i="18"/>
  <c r="H38" i="18"/>
  <c r="B68" i="18"/>
  <c r="H8" i="18"/>
  <c r="G38" i="18"/>
  <c r="G8" i="18"/>
  <c r="B67" i="18"/>
  <c r="F32" i="18"/>
  <c r="F44" i="18"/>
  <c r="F43" i="18"/>
  <c r="F42" i="18"/>
  <c r="F41" i="18"/>
  <c r="F40" i="18"/>
  <c r="B62" i="18"/>
  <c r="F38" i="18"/>
  <c r="B60" i="18"/>
  <c r="F21" i="18"/>
  <c r="F31" i="18"/>
  <c r="F27" i="18"/>
  <c r="F23" i="18"/>
  <c r="F26" i="18"/>
  <c r="F25" i="18"/>
  <c r="B64" i="18"/>
  <c r="F24" i="18"/>
  <c r="F12" i="18"/>
  <c r="F13" i="18"/>
  <c r="B65" i="18"/>
  <c r="F11" i="18"/>
  <c r="B63" i="18"/>
  <c r="F10" i="18"/>
  <c r="I63" i="11"/>
  <c r="I61" i="11"/>
  <c r="I69" i="11"/>
  <c r="C3" i="17"/>
  <c r="I66" i="11"/>
  <c r="I65" i="11"/>
  <c r="I70" i="11"/>
  <c r="C4" i="17"/>
  <c r="C16" i="17"/>
  <c r="I64" i="11"/>
  <c r="I48" i="11"/>
  <c r="J48" i="11"/>
  <c r="K48" i="11"/>
  <c r="L48" i="11"/>
  <c r="M48" i="11"/>
  <c r="N48" i="11"/>
  <c r="I42" i="11"/>
  <c r="O42" i="11"/>
  <c r="J42" i="11"/>
  <c r="K42" i="11"/>
  <c r="L42" i="11"/>
  <c r="M42" i="11"/>
  <c r="N42" i="11"/>
  <c r="I41" i="11"/>
  <c r="J41" i="11"/>
  <c r="I35" i="11"/>
  <c r="I32" i="11"/>
  <c r="I31" i="11"/>
  <c r="I30" i="11"/>
  <c r="I29" i="11"/>
  <c r="J24" i="11"/>
  <c r="K24" i="11"/>
  <c r="L24" i="11"/>
  <c r="M24" i="11"/>
  <c r="N24" i="11"/>
  <c r="J23" i="11"/>
  <c r="K23" i="11"/>
  <c r="L23" i="11"/>
  <c r="M23" i="11"/>
  <c r="N23" i="11"/>
  <c r="N22" i="11"/>
  <c r="N21" i="11"/>
  <c r="M22" i="11"/>
  <c r="M21" i="11"/>
  <c r="L22" i="11"/>
  <c r="L21" i="11"/>
  <c r="K22" i="11"/>
  <c r="J22" i="11"/>
  <c r="K21" i="11"/>
  <c r="O21" i="11"/>
  <c r="J21" i="11"/>
  <c r="E26" i="7"/>
  <c r="L30" i="11"/>
  <c r="E25" i="7"/>
  <c r="M29" i="11"/>
  <c r="O29" i="11"/>
  <c r="C16" i="7"/>
  <c r="E16" i="7"/>
  <c r="D25" i="7"/>
  <c r="D53" i="4"/>
  <c r="D26" i="7"/>
  <c r="D51" i="7"/>
  <c r="E51" i="7"/>
  <c r="D50" i="7"/>
  <c r="E50" i="7"/>
  <c r="D49" i="7"/>
  <c r="E49" i="7"/>
  <c r="C48" i="7"/>
  <c r="I38" i="11"/>
  <c r="C47" i="7"/>
  <c r="D47" i="7"/>
  <c r="E47" i="7"/>
  <c r="C46" i="7"/>
  <c r="I36" i="11"/>
  <c r="J36" i="11"/>
  <c r="K36" i="11"/>
  <c r="L36" i="11"/>
  <c r="M36" i="11"/>
  <c r="N36" i="11"/>
  <c r="D46" i="7"/>
  <c r="E46" i="7"/>
  <c r="Q20" i="15"/>
  <c r="B29" i="16"/>
  <c r="B30" i="16"/>
  <c r="R20" i="16"/>
  <c r="S20" i="16"/>
  <c r="R19" i="16"/>
  <c r="S19" i="16"/>
  <c r="R18" i="16"/>
  <c r="S18" i="16"/>
  <c r="R17" i="16"/>
  <c r="S17" i="16"/>
  <c r="R16" i="16"/>
  <c r="S16" i="16"/>
  <c r="R15" i="16"/>
  <c r="S15" i="16"/>
  <c r="R14" i="16"/>
  <c r="S14" i="16"/>
  <c r="R13" i="16"/>
  <c r="S13" i="16"/>
  <c r="R12" i="16"/>
  <c r="S12" i="16"/>
  <c r="R11" i="16"/>
  <c r="S11" i="16"/>
  <c r="R10" i="16"/>
  <c r="S10" i="16"/>
  <c r="R9" i="16"/>
  <c r="S9" i="16"/>
  <c r="R8" i="16"/>
  <c r="S8" i="16"/>
  <c r="R7" i="16"/>
  <c r="S7" i="16"/>
  <c r="R6" i="16"/>
  <c r="S6" i="16"/>
  <c r="R5" i="16"/>
  <c r="S5" i="16"/>
  <c r="R4" i="16"/>
  <c r="S4" i="16"/>
  <c r="B31" i="15"/>
  <c r="B32" i="15"/>
  <c r="U19" i="15"/>
  <c r="T19" i="15"/>
  <c r="S19" i="15"/>
  <c r="R19" i="15"/>
  <c r="Q19" i="15"/>
  <c r="P19" i="15"/>
  <c r="N19" i="15"/>
  <c r="V19" i="15"/>
  <c r="U18" i="15"/>
  <c r="T18" i="15"/>
  <c r="S18" i="15"/>
  <c r="R18" i="15"/>
  <c r="Q18" i="15"/>
  <c r="P18" i="15"/>
  <c r="N18" i="15"/>
  <c r="O18" i="15"/>
  <c r="V18" i="15"/>
  <c r="U17" i="15"/>
  <c r="T17" i="15"/>
  <c r="S17" i="15"/>
  <c r="R17" i="15"/>
  <c r="Q17" i="15"/>
  <c r="P17" i="15"/>
  <c r="N17" i="15"/>
  <c r="O17" i="15"/>
  <c r="U16" i="15"/>
  <c r="T16" i="15"/>
  <c r="S16" i="15"/>
  <c r="R16" i="15"/>
  <c r="Q16" i="15"/>
  <c r="P16" i="15"/>
  <c r="N16" i="15"/>
  <c r="O16" i="15"/>
  <c r="V16" i="15"/>
  <c r="U15" i="15"/>
  <c r="T15" i="15"/>
  <c r="S15" i="15"/>
  <c r="R15" i="15"/>
  <c r="Q15" i="15"/>
  <c r="P15" i="15"/>
  <c r="N15" i="15"/>
  <c r="O15" i="15"/>
  <c r="V15" i="15"/>
  <c r="U14" i="15"/>
  <c r="T14" i="15"/>
  <c r="S14" i="15"/>
  <c r="R14" i="15"/>
  <c r="Q14" i="15"/>
  <c r="P14" i="15"/>
  <c r="N14" i="15"/>
  <c r="O14" i="15"/>
  <c r="U13" i="15"/>
  <c r="T13" i="15"/>
  <c r="S13" i="15"/>
  <c r="R13" i="15"/>
  <c r="Q13" i="15"/>
  <c r="P13" i="15"/>
  <c r="N13" i="15"/>
  <c r="O13" i="15"/>
  <c r="U12" i="15"/>
  <c r="T12" i="15"/>
  <c r="S12" i="15"/>
  <c r="R12" i="15"/>
  <c r="Q12" i="15"/>
  <c r="P12" i="15"/>
  <c r="N12" i="15"/>
  <c r="V12" i="15"/>
  <c r="O12" i="15"/>
  <c r="U11" i="15"/>
  <c r="T11" i="15"/>
  <c r="S11" i="15"/>
  <c r="R11" i="15"/>
  <c r="Q11" i="15"/>
  <c r="P11" i="15"/>
  <c r="N11" i="15"/>
  <c r="V11" i="15"/>
  <c r="U10" i="15"/>
  <c r="T10" i="15"/>
  <c r="S10" i="15"/>
  <c r="R10" i="15"/>
  <c r="Q10" i="15"/>
  <c r="P10" i="15"/>
  <c r="N10" i="15"/>
  <c r="O10" i="15"/>
  <c r="U9" i="15"/>
  <c r="T9" i="15"/>
  <c r="S9" i="15"/>
  <c r="R9" i="15"/>
  <c r="Q9" i="15"/>
  <c r="P9" i="15"/>
  <c r="N9" i="15"/>
  <c r="O9" i="15"/>
  <c r="U8" i="15"/>
  <c r="T8" i="15"/>
  <c r="S8" i="15"/>
  <c r="R8" i="15"/>
  <c r="Q8" i="15"/>
  <c r="P8" i="15"/>
  <c r="N8" i="15"/>
  <c r="O8" i="15"/>
  <c r="U7" i="15"/>
  <c r="T7" i="15"/>
  <c r="S7" i="15"/>
  <c r="R7" i="15"/>
  <c r="Q7" i="15"/>
  <c r="P7" i="15"/>
  <c r="N7" i="15"/>
  <c r="V7" i="15"/>
  <c r="U6" i="15"/>
  <c r="T6" i="15"/>
  <c r="S6" i="15"/>
  <c r="R6" i="15"/>
  <c r="Q6" i="15"/>
  <c r="P6" i="15"/>
  <c r="N6" i="15"/>
  <c r="V6" i="15"/>
  <c r="U5" i="15"/>
  <c r="T5" i="15"/>
  <c r="S5" i="15"/>
  <c r="R5" i="15"/>
  <c r="Q5" i="15"/>
  <c r="P5" i="15"/>
  <c r="N5" i="15"/>
  <c r="V5" i="15"/>
  <c r="U4" i="15"/>
  <c r="T4" i="15"/>
  <c r="S4" i="15"/>
  <c r="R4" i="15"/>
  <c r="Q4" i="15"/>
  <c r="P4" i="15"/>
  <c r="N4" i="15"/>
  <c r="O4" i="15"/>
  <c r="E45" i="7"/>
  <c r="E44" i="7"/>
  <c r="E40" i="7"/>
  <c r="E39" i="7"/>
  <c r="J35" i="11"/>
  <c r="K35" i="11"/>
  <c r="E30" i="7"/>
  <c r="C30" i="7"/>
  <c r="D30" i="7"/>
  <c r="D60" i="4"/>
  <c r="E27" i="7"/>
  <c r="M31" i="11"/>
  <c r="E24" i="7"/>
  <c r="E8" i="7"/>
  <c r="D9" i="7"/>
  <c r="E5" i="7"/>
  <c r="E4" i="7"/>
  <c r="C4" i="7"/>
  <c r="C32" i="4"/>
  <c r="D4" i="7"/>
  <c r="D32" i="4"/>
  <c r="E80" i="4"/>
  <c r="E75" i="4"/>
  <c r="E74" i="4"/>
  <c r="E69" i="4"/>
  <c r="E68" i="4"/>
  <c r="E64" i="4"/>
  <c r="E60" i="4"/>
  <c r="B60" i="4"/>
  <c r="E54" i="4"/>
  <c r="E53" i="4"/>
  <c r="E52" i="4"/>
  <c r="E47" i="4"/>
  <c r="E46" i="4"/>
  <c r="E45" i="4"/>
  <c r="E40" i="4"/>
  <c r="E35" i="4"/>
  <c r="E34" i="4"/>
  <c r="E33" i="4"/>
  <c r="E32" i="4"/>
  <c r="G74" i="4"/>
  <c r="H77" i="4"/>
  <c r="G64" i="4"/>
  <c r="H65" i="4"/>
  <c r="G80" i="4"/>
  <c r="H80" i="4"/>
  <c r="G69" i="4"/>
  <c r="E36" i="7"/>
  <c r="K33" i="11"/>
  <c r="C36" i="7"/>
  <c r="D36" i="7"/>
  <c r="D64" i="4"/>
  <c r="E33" i="7"/>
  <c r="G53" i="4"/>
  <c r="G52" i="4"/>
  <c r="H55" i="4"/>
  <c r="G54" i="4"/>
  <c r="E7" i="7"/>
  <c r="C5" i="7"/>
  <c r="D5" i="7"/>
  <c r="D33" i="4"/>
  <c r="G10" i="4"/>
  <c r="G9" i="4"/>
  <c r="F5" i="4"/>
  <c r="F4" i="4"/>
  <c r="D4" i="4"/>
  <c r="G4" i="4"/>
  <c r="I4" i="4"/>
  <c r="F3" i="4"/>
  <c r="E5" i="4"/>
  <c r="G5" i="4"/>
  <c r="I5" i="4"/>
  <c r="E4" i="4"/>
  <c r="E3" i="4"/>
  <c r="D9" i="4"/>
  <c r="D10" i="4"/>
  <c r="D22" i="4"/>
  <c r="D25" i="4"/>
  <c r="D23" i="4"/>
  <c r="D24" i="4"/>
  <c r="D18" i="4"/>
  <c r="D20" i="4"/>
  <c r="D19" i="4"/>
  <c r="D21" i="4"/>
  <c r="D17" i="4"/>
  <c r="D5" i="4"/>
  <c r="D3" i="4"/>
  <c r="G3" i="4"/>
  <c r="F58" i="4"/>
  <c r="F61" i="4"/>
  <c r="H61" i="4"/>
  <c r="D27" i="7"/>
  <c r="D54" i="4"/>
  <c r="J10" i="4"/>
  <c r="D14" i="4"/>
  <c r="D13" i="4"/>
  <c r="F60" i="4"/>
  <c r="J14" i="4"/>
  <c r="G75" i="4"/>
  <c r="G46" i="4"/>
  <c r="G47" i="4"/>
  <c r="G45" i="4"/>
  <c r="H48" i="4"/>
  <c r="G34" i="4"/>
  <c r="G35" i="4"/>
  <c r="G32" i="4"/>
  <c r="H36" i="4"/>
  <c r="J84" i="4"/>
  <c r="G40" i="4"/>
  <c r="H41" i="4"/>
  <c r="G68" i="4"/>
  <c r="H70" i="4"/>
  <c r="G33" i="4"/>
  <c r="B75" i="4"/>
  <c r="C75" i="4"/>
  <c r="B77" i="4"/>
  <c r="C77" i="4"/>
  <c r="E77" i="4"/>
  <c r="C74" i="4"/>
  <c r="B74" i="4"/>
  <c r="B69" i="4"/>
  <c r="C69" i="4"/>
  <c r="C68" i="4"/>
  <c r="B68" i="4"/>
  <c r="B65" i="4"/>
  <c r="C65" i="4"/>
  <c r="E65" i="4"/>
  <c r="B64" i="4"/>
  <c r="B54" i="4"/>
  <c r="C54" i="4"/>
  <c r="B55" i="4"/>
  <c r="C55" i="4"/>
  <c r="E55" i="4"/>
  <c r="C52" i="4"/>
  <c r="B52" i="4"/>
  <c r="B46" i="4"/>
  <c r="B47" i="4"/>
  <c r="B48" i="4"/>
  <c r="C48" i="4"/>
  <c r="E48" i="4"/>
  <c r="C45" i="4"/>
  <c r="B45" i="4"/>
  <c r="G41" i="4"/>
  <c r="C40" i="4"/>
  <c r="B40" i="4"/>
  <c r="C34" i="4"/>
  <c r="C35" i="4"/>
  <c r="E36" i="4"/>
  <c r="B33" i="4"/>
  <c r="B34" i="4"/>
  <c r="B35" i="4"/>
  <c r="B32" i="4"/>
  <c r="D44" i="7"/>
  <c r="D74" i="4"/>
  <c r="D41" i="7"/>
  <c r="D40" i="7"/>
  <c r="D69" i="4"/>
  <c r="D39" i="7"/>
  <c r="D68" i="4"/>
  <c r="D24" i="7"/>
  <c r="D52" i="4"/>
  <c r="D12" i="7"/>
  <c r="D40" i="4"/>
  <c r="D8" i="7"/>
  <c r="D34" i="4"/>
  <c r="D7" i="7"/>
  <c r="D6" i="7"/>
  <c r="D35" i="4"/>
  <c r="C47" i="4"/>
  <c r="G48" i="4"/>
  <c r="D48" i="4"/>
  <c r="D55" i="4"/>
  <c r="G36" i="4"/>
  <c r="C46" i="4"/>
  <c r="G65" i="4"/>
  <c r="D65" i="4"/>
  <c r="D77" i="4"/>
  <c r="D75" i="4"/>
  <c r="D45" i="4"/>
  <c r="D46" i="4"/>
  <c r="D47" i="4"/>
  <c r="J26" i="4"/>
  <c r="G77" i="4"/>
  <c r="O15" i="19"/>
  <c r="O6" i="19"/>
  <c r="J2" i="19"/>
  <c r="O7" i="19"/>
  <c r="Q7" i="19"/>
  <c r="O3" i="19"/>
  <c r="Q3" i="19"/>
  <c r="O4" i="19"/>
  <c r="O2" i="19"/>
  <c r="Q2" i="19"/>
  <c r="K94" i="11"/>
  <c r="L94" i="11"/>
  <c r="M94" i="11"/>
  <c r="N94" i="11"/>
  <c r="P13" i="19"/>
  <c r="R13" i="19"/>
  <c r="V9" i="15"/>
  <c r="O7" i="15"/>
  <c r="N10" i="11"/>
  <c r="L10" i="11"/>
  <c r="I10" i="11"/>
  <c r="K10" i="11"/>
  <c r="O77" i="11"/>
  <c r="M10" i="11"/>
  <c r="E20" i="7"/>
  <c r="E19" i="7"/>
  <c r="D19" i="7"/>
  <c r="I45" i="11"/>
  <c r="L43" i="11"/>
  <c r="L56" i="11"/>
  <c r="N45" i="11"/>
  <c r="K43" i="11"/>
  <c r="K56" i="11"/>
  <c r="M45" i="11"/>
  <c r="N43" i="11"/>
  <c r="N56" i="11"/>
  <c r="L45" i="11"/>
  <c r="K45" i="11"/>
  <c r="E17" i="7"/>
  <c r="D18" i="7"/>
  <c r="L29" i="11"/>
  <c r="L35" i="11"/>
  <c r="I34" i="11"/>
  <c r="I37" i="11"/>
  <c r="J37" i="11"/>
  <c r="K37" i="11"/>
  <c r="L37" i="11"/>
  <c r="M37" i="11"/>
  <c r="N37" i="11"/>
  <c r="I44" i="11"/>
  <c r="K34" i="11"/>
  <c r="J44" i="11"/>
  <c r="K44" i="11"/>
  <c r="L44" i="11"/>
  <c r="O44" i="11"/>
  <c r="M44" i="11"/>
  <c r="N44" i="11"/>
  <c r="O89" i="11"/>
  <c r="M30" i="11"/>
  <c r="K30" i="11"/>
  <c r="O30" i="11"/>
  <c r="I33" i="11"/>
  <c r="O33" i="11"/>
  <c r="I55" i="11"/>
  <c r="C5" i="17"/>
  <c r="C17" i="17"/>
  <c r="O83" i="11"/>
  <c r="O6" i="15"/>
  <c r="V8" i="15"/>
  <c r="C64" i="4"/>
  <c r="D48" i="7"/>
  <c r="E48" i="7"/>
  <c r="R2" i="19"/>
  <c r="O5" i="11"/>
  <c r="H5" i="4"/>
  <c r="L33" i="11"/>
  <c r="D15" i="7"/>
  <c r="J46" i="11"/>
  <c r="I46" i="11"/>
  <c r="O46" i="11"/>
  <c r="M33" i="11"/>
  <c r="O19" i="15"/>
  <c r="V13" i="15"/>
  <c r="J33" i="11"/>
  <c r="L47" i="11"/>
  <c r="N46" i="11"/>
  <c r="E21" i="7"/>
  <c r="M46" i="11"/>
  <c r="N33" i="11"/>
  <c r="W2" i="19"/>
  <c r="C15" i="17"/>
  <c r="T2" i="19"/>
  <c r="L28" i="11"/>
  <c r="N47" i="11"/>
  <c r="J30" i="11"/>
  <c r="J43" i="11"/>
  <c r="H4" i="4"/>
  <c r="O5" i="15"/>
  <c r="J38" i="11"/>
  <c r="K38" i="11"/>
  <c r="D16" i="7"/>
  <c r="J52" i="11"/>
  <c r="K52" i="11"/>
  <c r="L52" i="11"/>
  <c r="M52" i="11"/>
  <c r="N52" i="11"/>
  <c r="D17" i="7"/>
  <c r="D20" i="7"/>
  <c r="K47" i="11"/>
  <c r="I43" i="11"/>
  <c r="I56" i="11"/>
  <c r="C6" i="17"/>
  <c r="C18" i="17"/>
  <c r="N29" i="11"/>
  <c r="V4" i="15"/>
  <c r="K29" i="11"/>
  <c r="N30" i="11"/>
  <c r="J47" i="11"/>
  <c r="I47" i="11"/>
  <c r="O47" i="11"/>
  <c r="J29" i="11"/>
  <c r="W9" i="15"/>
  <c r="W16" i="15"/>
  <c r="W8" i="15"/>
  <c r="W19" i="15"/>
  <c r="W15" i="15"/>
  <c r="W18" i="15"/>
  <c r="W13" i="15"/>
  <c r="W7" i="15"/>
  <c r="W12" i="15"/>
  <c r="W4" i="15"/>
  <c r="W5" i="15"/>
  <c r="W6" i="15"/>
  <c r="J49" i="11"/>
  <c r="K49" i="11"/>
  <c r="L49" i="11"/>
  <c r="M49" i="11"/>
  <c r="N49" i="11"/>
  <c r="O52" i="11"/>
  <c r="O28" i="11"/>
  <c r="O39" i="11"/>
  <c r="O50" i="11"/>
  <c r="J50" i="11"/>
  <c r="K50" i="11"/>
  <c r="L50" i="11"/>
  <c r="M50" i="11"/>
  <c r="N50" i="11"/>
  <c r="C9" i="20"/>
  <c r="Y8" i="19"/>
  <c r="R8" i="19"/>
  <c r="O45" i="11"/>
  <c r="J56" i="11"/>
  <c r="D6" i="17"/>
  <c r="O94" i="11"/>
  <c r="R6" i="19"/>
  <c r="C7" i="20"/>
  <c r="Y6" i="19"/>
  <c r="Q6" i="19"/>
  <c r="Y4" i="19"/>
  <c r="C5" i="20"/>
  <c r="Q4" i="19"/>
  <c r="R4" i="19"/>
  <c r="R3" i="19"/>
  <c r="Y3" i="19"/>
  <c r="C4" i="20"/>
  <c r="P10" i="19"/>
  <c r="C6" i="20"/>
  <c r="Y5" i="19"/>
  <c r="Y9" i="19"/>
  <c r="Q5" i="19"/>
  <c r="R5" i="19"/>
  <c r="W5" i="19"/>
  <c r="O51" i="11"/>
  <c r="Y12" i="19"/>
  <c r="C15" i="20"/>
  <c r="R12" i="19"/>
  <c r="L38" i="11"/>
  <c r="M38" i="11"/>
  <c r="N38" i="11"/>
  <c r="O38" i="11"/>
  <c r="K41" i="11"/>
  <c r="L41" i="11"/>
  <c r="M41" i="11"/>
  <c r="N41" i="11"/>
  <c r="W11" i="15"/>
  <c r="Y25" i="19"/>
  <c r="Z25" i="19"/>
  <c r="Q8" i="19"/>
  <c r="O37" i="11"/>
  <c r="O36" i="11"/>
  <c r="N34" i="11"/>
  <c r="C8" i="20"/>
  <c r="Y13" i="19"/>
  <c r="O40" i="11"/>
  <c r="C16" i="20"/>
  <c r="C3" i="20"/>
  <c r="J28" i="11"/>
  <c r="J57" i="11"/>
  <c r="D7" i="17"/>
  <c r="D19" i="17"/>
  <c r="V10" i="15"/>
  <c r="W10" i="15"/>
  <c r="O43" i="11"/>
  <c r="O56" i="11"/>
  <c r="K32" i="11"/>
  <c r="L32" i="11"/>
  <c r="M34" i="11"/>
  <c r="M57" i="11"/>
  <c r="O48" i="11"/>
  <c r="R7" i="19"/>
  <c r="I57" i="11"/>
  <c r="N28" i="11"/>
  <c r="K28" i="11"/>
  <c r="O10" i="19"/>
  <c r="C33" i="4"/>
  <c r="J32" i="11"/>
  <c r="O32" i="11"/>
  <c r="O6" i="11"/>
  <c r="O26" i="11"/>
  <c r="O55" i="11"/>
  <c r="K31" i="11"/>
  <c r="M35" i="11"/>
  <c r="O35" i="11"/>
  <c r="V17" i="15"/>
  <c r="W17" i="15"/>
  <c r="L31" i="11"/>
  <c r="O31" i="11"/>
  <c r="V14" i="15"/>
  <c r="W14" i="15"/>
  <c r="N32" i="11"/>
  <c r="N35" i="11"/>
  <c r="H3" i="4"/>
  <c r="I3" i="4"/>
  <c r="J6" i="4"/>
  <c r="J28" i="4"/>
  <c r="J88" i="4"/>
  <c r="O74" i="11"/>
  <c r="L34" i="11"/>
  <c r="L57" i="11"/>
  <c r="J31" i="11"/>
  <c r="M32" i="11"/>
  <c r="P9" i="19"/>
  <c r="N31" i="11"/>
  <c r="O11" i="15"/>
  <c r="O34" i="11"/>
  <c r="W3" i="19"/>
  <c r="T3" i="19"/>
  <c r="R9" i="19"/>
  <c r="D11" i="17"/>
  <c r="D18" i="17"/>
  <c r="D23" i="17"/>
  <c r="T7" i="19"/>
  <c r="W7" i="19"/>
  <c r="T4" i="19"/>
  <c r="W4" i="19"/>
  <c r="O49" i="11"/>
  <c r="C10" i="20"/>
  <c r="T8" i="19"/>
  <c r="W8" i="19"/>
  <c r="K57" i="11"/>
  <c r="O41" i="11"/>
  <c r="N57" i="11"/>
  <c r="W6" i="19"/>
  <c r="T6" i="19"/>
  <c r="O57" i="11"/>
  <c r="C7" i="17"/>
  <c r="C19" i="17"/>
  <c r="C11" i="17"/>
  <c r="Y24" i="19"/>
  <c r="Z24" i="19"/>
  <c r="P11" i="19"/>
  <c r="C23" i="17"/>
  <c r="P15" i="19"/>
  <c r="R11" i="19"/>
  <c r="R14" i="19"/>
  <c r="P14" i="19"/>
  <c r="C14" i="20"/>
  <c r="C17" i="20"/>
  <c r="Y11" i="19"/>
  <c r="Y14" i="19"/>
</calcChain>
</file>

<file path=xl/comments1.xml><?xml version="1.0" encoding="utf-8"?>
<comments xmlns="http://schemas.openxmlformats.org/spreadsheetml/2006/main">
  <authors>
    <author>tc={3BD8D781-5A85-4DC7-AAC6-005F4268DB30}</author>
    <author>tc={83D040B0-9DD9-4386-B01A-C9ADD2B1D499}</author>
    <author>tc={46CE9074-0ABB-4DD9-B296-DE298AA6BA96}</author>
    <author>tc={6D1FF02B-9660-4B8B-8BA2-A5A708FD2EE8}</author>
    <author>tc={A4190610-D058-4A10-8E43-8220D607295F}</author>
    <author>tc={36622414-94B9-4059-A5DE-CCE06AC8A49C}</author>
    <author>tc={86B958CD-30E6-45B5-BB15-DDA42A977244}</author>
    <author>Celauro Daniele</author>
  </authors>
  <commentList>
    <comment ref="A6" authorId="0" shapeId="0">
      <text>
        <r>
          <rPr>
            <sz val="11"/>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Usare questa voce per quotare le CPU relative ai POD, costa di meno (Info ricevuta da Pepino)</t>
        </r>
      </text>
    </comment>
    <comment ref="A7" authorId="1" shapeId="0">
      <text>
        <r>
          <rPr>
            <sz val="11"/>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Usare questa voce per quotare le CPU relative ai POD, costa di meno (Info ricevuta da Pepino)</t>
        </r>
      </text>
    </comment>
    <comment ref="A8" authorId="2" shapeId="0">
      <text>
        <r>
          <rPr>
            <sz val="11"/>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Usare questa voce per quotare le CPU relative ai POD, costa di meno (Info ricevuta da Pepino)</t>
        </r>
      </text>
    </comment>
    <comment ref="A9" authorId="3" shapeId="0">
      <text>
        <r>
          <rPr>
            <sz val="11"/>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Usare solo per prod e inserire il medesimo spazio disco di Storage SSD</t>
        </r>
      </text>
    </comment>
    <comment ref="A10" authorId="4" shapeId="0">
      <text>
        <r>
          <rPr>
            <sz val="11"/>
            <color theme="1"/>
            <rFont val="Calibri"/>
            <family val="2"/>
            <scheme val="minor"/>
          </rPr>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Usare solo per prod e inserire il medesimo spazio disco di Storage SSD*5
</t>
        </r>
      </text>
    </comment>
    <comment ref="A11" authorId="5" shapeId="0">
      <text>
        <r>
          <rPr>
            <sz val="11"/>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Usare questa voce per quotare spazio storage di coll, par, prod. SOLO per prod riportare il medesimo spazio necessario anche su Backup - Front-end e lo spazio necessario *5 su Backup - Back-end (perché prod ha Backup con Commvault). Inoltre, le VM di base nascono con 40GB di disco già incluso ma se serve più spazio (min. 100GB) va sempre quotato (preferibile quotare sempre)</t>
        </r>
      </text>
    </comment>
    <comment ref="A12" authorId="6" shapeId="0">
      <text>
        <r>
          <rPr>
            <sz val="11"/>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NON USARE questo campo</t>
        </r>
      </text>
    </comment>
    <comment ref="A21" authorId="7" shapeId="0">
      <text>
        <r>
          <rPr>
            <sz val="9"/>
            <color indexed="81"/>
            <rFont val="Tahoma"/>
            <family val="2"/>
          </rPr>
          <t>Il deployment è relativo al namespace
ES: se ho 3 namespace differenti, devo considerare 3 deployment x n° ambienti.</t>
        </r>
      </text>
    </comment>
    <comment ref="A43" authorId="7" shapeId="0">
      <text>
        <r>
          <rPr>
            <b/>
            <sz val="9"/>
            <color indexed="81"/>
            <rFont val="Tahoma"/>
            <charset val="1"/>
          </rPr>
          <t>Observability applicativo , il costo si basa sul consumo di GB di RAM per ora. 
Costo al 2026. 
EUR 372.31 Per 100,000 memory-gibibyte-hours
Prossimo rinnovo contrattuale a Luglio 2026</t>
        </r>
      </text>
    </comment>
    <comment ref="A44" authorId="7" shapeId="0">
      <text>
        <r>
          <rPr>
            <b/>
            <sz val="9"/>
            <color indexed="81"/>
            <rFont val="Tahoma"/>
            <charset val="1"/>
          </rPr>
          <t>Observability Infrastrutturale , il costo si basa sul VM per ora. 
Costo al 2026. 
EUR 1,488.85 Per 100,000 host-hours</t>
        </r>
      </text>
    </comment>
    <comment ref="A46" authorId="7" shapeId="0">
      <text>
        <r>
          <rPr>
            <sz val="9"/>
            <color indexed="81"/>
            <rFont val="Tahoma"/>
            <charset val="1"/>
          </rPr>
          <t xml:space="preserve">Costo di ingestion dei log calcolato su base oraria
Nella formula abbiamo calcolato il costo di ingestion di 1 gb per 12 ore al giorno per 365 giorni.
Costo al 2026
EUR 1,387.00 Per 10,000 gibibytes
</t>
        </r>
      </text>
    </comment>
    <comment ref="A76" authorId="7" shapeId="0">
      <text>
        <r>
          <rPr>
            <b/>
            <sz val="9"/>
            <color indexed="81"/>
            <rFont val="Tahoma"/>
            <family val="2"/>
          </rPr>
          <t>Celauro Daniele:</t>
        </r>
        <r>
          <rPr>
            <sz val="9"/>
            <color indexed="81"/>
            <rFont val="Tahoma"/>
            <family val="2"/>
          </rPr>
          <t xml:space="preserve">
(S3, Cloud Storage, Blob Storage)</t>
        </r>
      </text>
    </comment>
    <comment ref="A77" authorId="7" shapeId="0">
      <text>
        <r>
          <rPr>
            <b/>
            <sz val="9"/>
            <color indexed="81"/>
            <rFont val="Tahoma"/>
            <family val="2"/>
          </rPr>
          <t>Celauro Daniele:</t>
        </r>
        <r>
          <rPr>
            <sz val="9"/>
            <color indexed="81"/>
            <rFont val="Tahoma"/>
            <family val="2"/>
          </rPr>
          <t xml:space="preserve">
(EBS, Persistent Disk, Disks)</t>
        </r>
      </text>
    </comment>
    <comment ref="A78" authorId="7" shapeId="0">
      <text>
        <r>
          <rPr>
            <b/>
            <sz val="9"/>
            <color indexed="81"/>
            <rFont val="Tahoma"/>
            <family val="2"/>
          </rPr>
          <t>Celauro Daniele:</t>
        </r>
        <r>
          <rPr>
            <sz val="9"/>
            <color indexed="81"/>
            <rFont val="Tahoma"/>
            <family val="2"/>
          </rPr>
          <t xml:space="preserve">
AWS: Rosa, EKS 
GCP: OCD, GKE 
AZURE: ARO, AKS</t>
        </r>
      </text>
    </comment>
    <comment ref="A79" authorId="7" shapeId="0">
      <text>
        <r>
          <rPr>
            <b/>
            <sz val="9"/>
            <color indexed="81"/>
            <rFont val="Tahoma"/>
            <family val="2"/>
          </rPr>
          <t>Celauro Daniele:</t>
        </r>
        <r>
          <rPr>
            <sz val="9"/>
            <color indexed="81"/>
            <rFont val="Tahoma"/>
            <family val="2"/>
          </rPr>
          <t xml:space="preserve">
AWS: RDS, Aurora 
GCP: CloudSQL, AlloyDB Azure: DB for PostgreSQL</t>
        </r>
      </text>
    </comment>
    <comment ref="A80" authorId="7" shapeId="0">
      <text>
        <r>
          <rPr>
            <b/>
            <sz val="9"/>
            <color indexed="81"/>
            <rFont val="Tahoma"/>
            <family val="2"/>
          </rPr>
          <t>Celauro Daniele:</t>
        </r>
        <r>
          <rPr>
            <sz val="9"/>
            <color indexed="81"/>
            <rFont val="Tahoma"/>
            <family val="2"/>
          </rPr>
          <t xml:space="preserve">
Deployato su VM</t>
        </r>
      </text>
    </comment>
    <comment ref="A81" authorId="7" shapeId="0">
      <text>
        <r>
          <rPr>
            <b/>
            <sz val="9"/>
            <color indexed="81"/>
            <rFont val="Tahoma"/>
            <family val="2"/>
          </rPr>
          <t>Celauro Daniele:</t>
        </r>
        <r>
          <rPr>
            <sz val="9"/>
            <color indexed="81"/>
            <rFont val="Tahoma"/>
            <family val="2"/>
          </rPr>
          <t xml:space="preserve">
AWS: RDS
GCP: Cloud SQL
Azure: SQL Database</t>
        </r>
      </text>
    </comment>
    <comment ref="A84" authorId="7" shapeId="0">
      <text>
        <r>
          <rPr>
            <b/>
            <sz val="9"/>
            <color indexed="81"/>
            <rFont val="Tahoma"/>
            <family val="2"/>
          </rPr>
          <t>Celauro Daniele:</t>
        </r>
        <r>
          <rPr>
            <sz val="9"/>
            <color indexed="81"/>
            <rFont val="Tahoma"/>
            <family val="2"/>
          </rPr>
          <t xml:space="preserve">
AWS: VPN, DNS, VPC, Peering, Transit Gateway, Direct Connect, Private Link 
Google: VPN, DNS, VPC, Peering, Transit Gateway, Direct Connect 
Azure: VPN, DNS, VNet, Peering, Transit Gateway, Express Route</t>
        </r>
      </text>
    </comment>
    <comment ref="A85" authorId="7" shapeId="0">
      <text>
        <r>
          <rPr>
            <b/>
            <sz val="9"/>
            <color indexed="81"/>
            <rFont val="Tahoma"/>
            <family val="2"/>
          </rPr>
          <t>Celauro Daniele:</t>
        </r>
        <r>
          <rPr>
            <sz val="9"/>
            <color indexed="81"/>
            <rFont val="Tahoma"/>
            <family val="2"/>
          </rPr>
          <t xml:space="preserve">
Cisco Multi Cloud Defense</t>
        </r>
      </text>
    </comment>
    <comment ref="A87" authorId="7" shapeId="0">
      <text>
        <r>
          <rPr>
            <b/>
            <sz val="9"/>
            <color indexed="81"/>
            <rFont val="Tahoma"/>
            <family val="2"/>
          </rPr>
          <t>Celauro Daniele:</t>
        </r>
        <r>
          <rPr>
            <sz val="9"/>
            <color indexed="81"/>
            <rFont val="Tahoma"/>
            <family val="2"/>
          </rPr>
          <t xml:space="preserve">
Nginx</t>
        </r>
      </text>
    </comment>
    <comment ref="A88" authorId="7" shapeId="0">
      <text>
        <r>
          <rPr>
            <b/>
            <sz val="9"/>
            <color indexed="81"/>
            <rFont val="Tahoma"/>
            <family val="2"/>
          </rPr>
          <t>Celauro Daniele:</t>
        </r>
        <r>
          <rPr>
            <sz val="9"/>
            <color indexed="81"/>
            <rFont val="Tahoma"/>
            <family val="2"/>
          </rPr>
          <t xml:space="preserve">
Redis, Confluent, Kafka, LogStash, Flink</t>
        </r>
      </text>
    </comment>
    <comment ref="A89" authorId="7" shapeId="0">
      <text>
        <r>
          <rPr>
            <b/>
            <sz val="9"/>
            <color indexed="81"/>
            <rFont val="Tahoma"/>
            <family val="2"/>
          </rPr>
          <t>Celauro Daniele:</t>
        </r>
        <r>
          <rPr>
            <sz val="9"/>
            <color indexed="81"/>
            <rFont val="Tahoma"/>
            <family val="2"/>
          </rPr>
          <t xml:space="preserve">
Costo di gestione è 0
</t>
        </r>
      </text>
    </comment>
    <comment ref="A90" authorId="7" shapeId="0">
      <text>
        <r>
          <rPr>
            <b/>
            <sz val="9"/>
            <color indexed="81"/>
            <rFont val="Tahoma"/>
            <family val="2"/>
          </rPr>
          <t>Celauro Daniele:</t>
        </r>
        <r>
          <rPr>
            <sz val="9"/>
            <color indexed="81"/>
            <rFont val="Tahoma"/>
            <family val="2"/>
          </rPr>
          <t xml:space="preserve">
Security Posture Management Platform
AWS Security HUB 
GCP Security 
Azure Security Center</t>
        </r>
      </text>
    </comment>
    <comment ref="A91" authorId="7" shapeId="0">
      <text>
        <r>
          <rPr>
            <b/>
            <sz val="9"/>
            <color indexed="81"/>
            <rFont val="Tahoma"/>
            <family val="2"/>
          </rPr>
          <t xml:space="preserve">Celauro Daniele:
</t>
        </r>
        <r>
          <rPr>
            <sz val="9"/>
            <color indexed="81"/>
            <rFont val="Tahoma"/>
            <family val="2"/>
          </rPr>
          <t>Database Non Relazionale (mongo)
AWS: DynamoDB 
GCP: Firestore, Azure: Datastore CosmosDB</t>
        </r>
      </text>
    </comment>
    <comment ref="A92" authorId="7" shapeId="0">
      <text>
        <r>
          <rPr>
            <b/>
            <sz val="9"/>
            <color indexed="81"/>
            <rFont val="Tahoma"/>
            <family val="2"/>
          </rPr>
          <t>Celauro Daniele:</t>
        </r>
        <r>
          <rPr>
            <sz val="9"/>
            <color indexed="81"/>
            <rFont val="Tahoma"/>
            <family val="2"/>
          </rPr>
          <t xml:space="preserve">
FSx Filestore Files</t>
        </r>
      </text>
    </comment>
  </commentList>
</comments>
</file>

<file path=xl/comments2.xml><?xml version="1.0" encoding="utf-8"?>
<comments xmlns="http://schemas.openxmlformats.org/spreadsheetml/2006/main">
  <authors>
    <author>tc={F4078211-6AFC-423D-94D3-1CF17F6256E3}</author>
    <author>tc={5CD6A9C1-8679-4115-8053-2DB1CE0DD260}</author>
  </authors>
  <commentList>
    <comment ref="F3" authorId="0" shapeId="0">
      <text>
        <r>
          <rPr>
            <sz val="11"/>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Indicare, se l’informazione è nota, la durata del progetto in mesi</t>
        </r>
      </text>
    </comment>
    <comment ref="C23" authorId="1" shapeId="0">
      <text>
        <r>
          <rPr>
            <sz val="11"/>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Condividere questa stima se l’informazione sui mesi di progetto è nota</t>
        </r>
      </text>
    </comment>
  </commentList>
</comments>
</file>

<file path=xl/comments3.xml><?xml version="1.0" encoding="utf-8"?>
<comments xmlns="http://schemas.openxmlformats.org/spreadsheetml/2006/main">
  <authors>
    <author>tc={4D3146F5-501F-4DDE-9247-1A089711CDCB}</author>
    <author>tc={1C7D4914-21F0-4D88-9DA6-5AA608626C21}</author>
    <author>tc={4F0FDAE1-7110-44CF-BFD4-F393E54C69CA}</author>
    <author>tc={BB6992BE-0F4B-4062-87D6-92A8360123C4}</author>
    <author>tc={D2F5CD36-9FD1-4645-8EBA-16BEB9FCE64D}</author>
  </authors>
  <commentList>
    <comment ref="G2" authorId="0" shapeId="0">
      <text>
        <r>
          <rPr>
            <sz val="11"/>
            <color theme="1"/>
            <rFont val="Calibri"/>
            <family val="2"/>
            <scheme val="minor"/>
          </rPr>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Spese in conto capitale: costi di acquisto o implementazione iniziale di asset IT durevoli (hardware, licenze perpetue, setup iniziale). Vengono ammortizzati nel tempo. </t>
        </r>
      </text>
    </comment>
    <comment ref="I2" authorId="1" shapeId="0">
      <text>
        <r>
          <rPr>
            <sz val="11"/>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Riportare, se gli capEx CTO non sono noti, la macrostima evincibile dallo sheet Fasce Budget CTO</t>
        </r>
      </text>
    </comment>
    <comment ref="G11" authorId="2" shapeId="0">
      <text>
        <r>
          <rPr>
            <sz val="11"/>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Spese operative: costi ricorrenti per il funzionamento quotidiano (subscription, supporto, personale, monitoraggio). Sono deducibili subito.</t>
        </r>
      </text>
    </comment>
    <comment ref="I11" authorId="3" shapeId="0">
      <text>
        <r>
          <rPr>
            <sz val="11"/>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Riportare, se gli opEx CTO non sono noti, la macrostima evincibile dallo sheet Fasce Budget CTO</t>
        </r>
      </text>
    </comment>
    <comment ref="J26" authorId="4" shapeId="0">
      <text>
        <r>
          <rPr>
            <sz val="11"/>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Prevedere questa voce per progetti a budget ridotto ma che richiedono un supporto per l’apertura RFC (in genere 10K i.i.). Per progetti con budget elevato considerare una quota per apertura RFC all’interno della macro-attività Provisioning-Configuration</t>
        </r>
      </text>
    </comment>
  </commentList>
</comments>
</file>

<file path=xl/comments4.xml><?xml version="1.0" encoding="utf-8"?>
<comments xmlns="http://schemas.openxmlformats.org/spreadsheetml/2006/main">
  <authors>
    <author>tc={C62B0DA4-E845-4C8F-B109-576BBBFB5B06}</author>
    <author>tc={C1C2134B-D4A2-450B-BD46-F092B6399360}</author>
    <author>tc={67818461-ED3E-4471-95BE-54152C2EC0CC}</author>
    <author>tc={421DB396-B5E8-4F8E-A32D-7FB0DE96B0E7}</author>
    <author>tc={744BFCFA-3717-4E3C-8470-B62944A150E7}</author>
    <author>tc={5C8C5C3A-A63E-49C5-8F12-B97534956E36}</author>
    <author>tc={9B349D65-5A3D-435A-8590-317CE1F61902}</author>
  </authors>
  <commentList>
    <comment ref="E6" authorId="0" shapeId="0">
      <text>
        <r>
          <rPr>
            <sz val="11"/>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Es. quotazione standard</t>
        </r>
      </text>
    </comment>
    <comment ref="E12" authorId="1" shapeId="0">
      <text>
        <r>
          <rPr>
            <sz val="11"/>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Es. quotazione standard</t>
        </r>
      </text>
    </comment>
    <comment ref="B16" authorId="2" shapeId="0">
      <text>
        <r>
          <rPr>
            <sz val="11"/>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Stima si fa sempre a 0,5 FTE</t>
        </r>
      </text>
    </comment>
    <comment ref="A25" authorId="3" shapeId="0">
      <text>
        <r>
          <rPr>
            <sz val="11"/>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Proposto da Reply per Piattaforma Reti Terze</t>
        </r>
      </text>
    </comment>
    <comment ref="A26" authorId="4" shapeId="0">
      <text>
        <r>
          <rPr>
            <sz val="11"/>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Proposto da Reply per Piattaforma Reti Terze e su Data Platform</t>
        </r>
      </text>
    </comment>
    <comment ref="A27" authorId="5" shapeId="0">
      <text>
        <r>
          <rPr>
            <sz val="11"/>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Proposto da Reply per Data Platform</t>
        </r>
      </text>
    </comment>
    <comment ref="E43" authorId="6" shapeId="0">
      <text>
        <r>
          <rPr>
            <sz val="11"/>
            <color theme="1"/>
            <rFont val="Calibri"/>
            <family val="2"/>
            <scheme val="minor"/>
          </rPr>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Es. quotazione standard</t>
        </r>
      </text>
    </comment>
  </commentList>
</comments>
</file>

<file path=xl/comments5.xml><?xml version="1.0" encoding="utf-8"?>
<comments xmlns="http://schemas.openxmlformats.org/spreadsheetml/2006/main">
  <authors>
    <author>Celauro Daniele</author>
  </authors>
  <commentList>
    <comment ref="B17" authorId="0" shapeId="0">
      <text>
        <r>
          <rPr>
            <b/>
            <sz val="9"/>
            <color indexed="81"/>
            <rFont val="Tahoma"/>
            <charset val="1"/>
          </rPr>
          <t>Observability applicativo , il costo si basa sul consumo di GB di RAM per ora. 
Costo al 2026. 
EUR 372.31 Per 100,000 memory-gibibyte-hours
Prossimo rinnovo contrattuale a Luglio 2026</t>
        </r>
      </text>
    </comment>
    <comment ref="B18" authorId="0" shapeId="0">
      <text>
        <r>
          <rPr>
            <b/>
            <sz val="9"/>
            <color indexed="81"/>
            <rFont val="Tahoma"/>
            <charset val="1"/>
          </rPr>
          <t>Observability Infrastrutturale , il costo si basa sul VM per ora. 
Costo al 2026. 
EUR 1,488.85 Per 100,000 host-hours</t>
        </r>
      </text>
    </comment>
    <comment ref="B19" authorId="0" shapeId="0">
      <text>
        <r>
          <rPr>
            <b/>
            <sz val="9"/>
            <color indexed="81"/>
            <rFont val="Tahoma"/>
            <charset val="1"/>
          </rPr>
          <t>Observability Kubernetes Platform Monitoring.
Il costo si basa sul numero di POD 
Costo al 2026. 
EUR 139.00 Per 100,000 pod-hours</t>
        </r>
      </text>
    </comment>
    <comment ref="B20" authorId="0" shapeId="0">
      <text>
        <r>
          <rPr>
            <sz val="9"/>
            <color indexed="81"/>
            <rFont val="Tahoma"/>
            <charset val="1"/>
          </rPr>
          <t xml:space="preserve">Costo di ingestion dei log calcolato su base oraria
Nella formula abbiamo calcolato il costo di ingestion di 1 gb per 12 ore al giorno per 365 giorni.
Costo al 2026
EUR 1,387.00 Per 10,000 gibibytes
</t>
        </r>
      </text>
    </comment>
  </commentList>
</comments>
</file>

<file path=xl/sharedStrings.xml><?xml version="1.0" encoding="utf-8"?>
<sst xmlns="http://schemas.openxmlformats.org/spreadsheetml/2006/main" count="1432" uniqueCount="679">
  <si>
    <t>Costo licenza SQL Server</t>
  </si>
  <si>
    <t>(copre 2 core)</t>
  </si>
  <si>
    <t>al 23/04/2021</t>
  </si>
  <si>
    <t>DATA</t>
  </si>
  <si>
    <t>NOTE</t>
  </si>
  <si>
    <t>Referente</t>
  </si>
  <si>
    <t>Aggiornati costi Licenze PostgreSQL ricevuti da Luca Conti nel tab ACN Listino licenze</t>
  </si>
  <si>
    <t>Daniele Celauro</t>
  </si>
  <si>
    <t>Sistemati errori nel tab Riepilogo Quadro Spese che non prendevano bene i costi dal tab Quadro Spese</t>
  </si>
  <si>
    <t>Nascosti alcuni tab informativi per semplificare la vista del file</t>
  </si>
  <si>
    <t>Inserito nel tab ACN Listino Licenze anche il costo delle licenze Premium di PostgreSQL</t>
  </si>
  <si>
    <t>Corretto errore nella somma dei component infrastrutturali nel tab ACN Costo Infra</t>
  </si>
  <si>
    <t>Aggiunta a Quadro Spese sezione per monitorare il consumo del budget quando il progetto va in execution</t>
  </si>
  <si>
    <t>Alessandro Liscio</t>
  </si>
  <si>
    <t>Sistemati i prezzi della gestione ACN impostando l'anno di riferimento.
Sistemato il calcolo delle licenze Vmware
Aggiornati alcuni prezzi di licenza software. Dubbi sulle licenze redhat, vmware, ocp</t>
  </si>
  <si>
    <t>Modificato taglio vcpu Worker a 16, eliminate righe Worker con taglio inferiore a 16vCPU</t>
  </si>
  <si>
    <t>Aggiunte info tariffe PM a Tariffario</t>
  </si>
  <si>
    <t>Rimossa riga Test Factory</t>
  </si>
  <si>
    <t>Aggiunte info relative a iva a sheet Tariffario</t>
  </si>
  <si>
    <t xml:space="preserve">Aggiunti i costi di Dynatrace </t>
  </si>
  <si>
    <t>Celauro/Malberti</t>
  </si>
  <si>
    <t xml:space="preserve"> Device e/o servizi </t>
  </si>
  <si>
    <t>OPEX</t>
  </si>
  <si>
    <t xml:space="preserve"> Caratteristiche </t>
  </si>
  <si>
    <t xml:space="preserve">Modello (ove disponibile) </t>
  </si>
  <si>
    <t xml:space="preserve"> Costo Anno 1 </t>
  </si>
  <si>
    <t xml:space="preserve"> Costo Anno 2</t>
  </si>
  <si>
    <t xml:space="preserve"> Costo Anno 3</t>
  </si>
  <si>
    <t xml:space="preserve"> Costo Anno 4</t>
  </si>
  <si>
    <t xml:space="preserve"> Costo Anno 5</t>
  </si>
  <si>
    <t xml:space="preserve"> Costo Anno 6</t>
  </si>
  <si>
    <t>TOTALE</t>
  </si>
  <si>
    <t>IVA</t>
  </si>
  <si>
    <t>o</t>
  </si>
  <si>
    <t xml:space="preserve">CPU </t>
  </si>
  <si>
    <t xml:space="preserve"> RAM </t>
  </si>
  <si>
    <t>Tera</t>
  </si>
  <si>
    <t>peso</t>
  </si>
  <si>
    <t>Quantità</t>
  </si>
  <si>
    <t>CAPEX</t>
  </si>
  <si>
    <t xml:space="preserve">byte </t>
  </si>
  <si>
    <t>Catalogo Componenti Infrastrutturali</t>
  </si>
  <si>
    <t>Server virtuale - 4 vCore - Generic</t>
  </si>
  <si>
    <t xml:space="preserve">Senza OS, senza Vmware </t>
  </si>
  <si>
    <t>Server virtuale - 8 vCore - Generic</t>
  </si>
  <si>
    <t>Worker - 16 vCore - No Prod</t>
  </si>
  <si>
    <t>Worker - 16 vCore - Prod</t>
  </si>
  <si>
    <t xml:space="preserve">Backup – Front-end </t>
  </si>
  <si>
    <t>Uguale a storage PROD</t>
  </si>
  <si>
    <t>Backup – Back-end</t>
  </si>
  <si>
    <t xml:space="preserve"> 1 </t>
  </si>
  <si>
    <t>Uguale a storage * 5</t>
  </si>
  <si>
    <t>Storage - SSD</t>
  </si>
  <si>
    <t>Replicato</t>
  </si>
  <si>
    <t>Storage - SSD non replicati</t>
  </si>
  <si>
    <t>Non replicato</t>
  </si>
  <si>
    <t>Database Oracle (non RAC) - gestione istanze</t>
  </si>
  <si>
    <t xml:space="preserve">Operation - management DBMS instance </t>
  </si>
  <si>
    <t>Database Ms SQL - gestione istanze</t>
  </si>
  <si>
    <t xml:space="preserve">DB2 Blu - gestione istanze </t>
  </si>
  <si>
    <t xml:space="preserve">NoSQLDB - gestione istanze </t>
  </si>
  <si>
    <t xml:space="preserve">Middleware IIS / Apache - gestione istanze </t>
  </si>
  <si>
    <t xml:space="preserve">Operation - management Middleware instance </t>
  </si>
  <si>
    <t xml:space="preserve">Middleware Tomcat/Jboss - gestione istanze </t>
  </si>
  <si>
    <t xml:space="preserve">Middleware WebSphere - gestione istanze </t>
  </si>
  <si>
    <t xml:space="preserve">Middleware WebLogic - gestione istanze </t>
  </si>
  <si>
    <t>Middleware Kubernetes - gestione Pod Deployment</t>
  </si>
  <si>
    <t>Numero Pod Deployment moltiplicato per ogni ambiente rilasciato</t>
  </si>
  <si>
    <t>Middleware Kubernetes - gestione NameSpace</t>
  </si>
  <si>
    <t>Numero Namespace moltiplicato per ogni ambiente rilasciato</t>
  </si>
  <si>
    <t>Oracle OCPU</t>
  </si>
  <si>
    <t>Numero di Ocpu richieste per progetto (Ocpu)</t>
  </si>
  <si>
    <t>Oracle STORAGE</t>
  </si>
  <si>
    <t xml:space="preserve">Numero di storage oracle per progetto (Tera) </t>
  </si>
  <si>
    <t xml:space="preserve">TOTALE RUNNING TIM/ACN </t>
  </si>
  <si>
    <t xml:space="preserve">OPEX </t>
  </si>
  <si>
    <t>Catalogo Licenze</t>
  </si>
  <si>
    <t>RED HAT</t>
  </si>
  <si>
    <t xml:space="preserve">RedHAt Sistema Operativo (somma core redhat no openshift, diviso 3) </t>
  </si>
  <si>
    <t>JBOSS PREPROD</t>
  </si>
  <si>
    <t>N° core, licenza da 16 core</t>
  </si>
  <si>
    <t>JBOSS PROD</t>
  </si>
  <si>
    <t>Websphere PREPROD</t>
  </si>
  <si>
    <t>LICENZA PER PVU (1 pvu 70*N.TOT CORE DEL SERVER FISICO) -inserire nel campo quantità il numero dei core del server fisico o 0</t>
  </si>
  <si>
    <t>Websphere PROD</t>
  </si>
  <si>
    <t>TWS PER JOB</t>
  </si>
  <si>
    <t>N. JOB ESEGUITI IN UN MESE</t>
  </si>
  <si>
    <t xml:space="preserve">Vmware (89 euro per core per anno, numero core virtuali /3) </t>
  </si>
  <si>
    <t>N. DI CORE ( costo per Core FISICO- stima 3 core virtuali=1core Fisico)</t>
  </si>
  <si>
    <t>SRM Prod</t>
  </si>
  <si>
    <t>N. MACCHINE VIRTUALI</t>
  </si>
  <si>
    <t>Mirantis - Prod</t>
  </si>
  <si>
    <t>N. DI CORE ( costo per Core)</t>
  </si>
  <si>
    <t>Mirantis - DR</t>
  </si>
  <si>
    <t>Mirantis - PreProd</t>
  </si>
  <si>
    <t>OpenShift - Prod</t>
  </si>
  <si>
    <t>OpenShift - DR 1 core</t>
  </si>
  <si>
    <t>OpenShift - Standard</t>
  </si>
  <si>
    <t>Monitoraggio Dynatrace</t>
  </si>
  <si>
    <t>1 ogni 16 gb di ram</t>
  </si>
  <si>
    <t xml:space="preserve">Dynatrace SaaS - Full Stack Monitoring (1 GB / Year) </t>
  </si>
  <si>
    <t>1 GB di ram per anno</t>
  </si>
  <si>
    <t>Dynatrace SaaS -Infrastructure Monitoring (1 VM / Year)</t>
  </si>
  <si>
    <t xml:space="preserve">1 VM per anno </t>
  </si>
  <si>
    <t>Dynatrace SaaS -K8s Platform Monitoring (1 POD / Year)</t>
  </si>
  <si>
    <t xml:space="preserve">1 POD per anno </t>
  </si>
  <si>
    <t>Dynatrace SaaS -Log Management &amp; Analytics - Ingest &amp; Process (1 GB )</t>
  </si>
  <si>
    <t>Costo a GB inviato e processato per ora (indicare TOT Ingestion Giornaliera)</t>
  </si>
  <si>
    <t>Dynatrace SaaS -Log Management &amp; Analytics - Retain (1 GB / Day )</t>
  </si>
  <si>
    <t>Costo a GB con retention di 30 gg (calcola il costo sul valore dell'ingestion)</t>
  </si>
  <si>
    <t>Monitoraggio Splunk</t>
  </si>
  <si>
    <t>Costo al GIGA</t>
  </si>
  <si>
    <t>MongoDB - Produzione</t>
  </si>
  <si>
    <t>N° nodi di produzione</t>
  </si>
  <si>
    <t>MongoDB - PreProduzione</t>
  </si>
  <si>
    <t>N° nodi di pre-produzione</t>
  </si>
  <si>
    <t>Postgres SQL - Produzione</t>
  </si>
  <si>
    <t>N° core Produzione</t>
  </si>
  <si>
    <t>Postgres SQL - Pre-Produzione</t>
  </si>
  <si>
    <t>N° core di Pre-Produzione</t>
  </si>
  <si>
    <t>Ws02 - core solo produzione</t>
  </si>
  <si>
    <t xml:space="preserve">TOTALE Licenze Investimento </t>
  </si>
  <si>
    <t xml:space="preserve">CAPEX </t>
  </si>
  <si>
    <t>Totale Licenze Dynatrace OPEX</t>
  </si>
  <si>
    <t>Totale Licenze OPEX</t>
  </si>
  <si>
    <t>Attività Progettuali</t>
  </si>
  <si>
    <t>Architettura/progettazione</t>
  </si>
  <si>
    <t xml:space="preserve">Progettazione della soluzione / Low Level Design </t>
  </si>
  <si>
    <t>Architettura/Quality</t>
  </si>
  <si>
    <t>Quality Assurance</t>
  </si>
  <si>
    <t xml:space="preserve">Infrastruttura/Predisposizione dell’infrastruttura </t>
  </si>
  <si>
    <t xml:space="preserve">Infrastruttura ambiente di pronta allo sviluppo (includendo utenze tecniche, secret , ecc…) (630 Euro * N° Giornate)  </t>
  </si>
  <si>
    <t xml:space="preserve">Infrastruttura/Creazione o modifica delle pipeline di deploy </t>
  </si>
  <si>
    <t>Sviluppo pipeline (Giornate 525*giornate)</t>
  </si>
  <si>
    <t xml:space="preserve">Infrastruttura/Predisposizione per la parte di osservability </t>
  </si>
  <si>
    <t>Sviluppo Dashboard di monitoraggio, allarmistica.  (630 Euro * N° Giornate)</t>
  </si>
  <si>
    <t>Infrastruttura/Esecuzione dei test di carico</t>
  </si>
  <si>
    <t>Stress test + Valutazione ( Media di 450€/gg) minimo 20 gg</t>
  </si>
  <si>
    <t>Infrastrutture/Major Change</t>
  </si>
  <si>
    <t>Realizzazioni Infrastrutturale ACN (RFC) - 490 € /gg</t>
  </si>
  <si>
    <t xml:space="preserve">Infrastrutture/Verifica e test di esercibilità, manuali di esercibilità </t>
  </si>
  <si>
    <t>Test esercibilità  - 490 € /gg</t>
  </si>
  <si>
    <t xml:space="preserve">Test Factory/ Governance dei test, NRT, Predisposizone Test </t>
  </si>
  <si>
    <t>Costo Progettuale</t>
  </si>
  <si>
    <t xml:space="preserve">Totale Attività Progettuali Investimento </t>
  </si>
  <si>
    <t>Totale Oneri One-Off</t>
  </si>
  <si>
    <t>Catalogo Componenti CLOUD
Costi di Gestione ACN</t>
  </si>
  <si>
    <t>AWS - GCP - Azure</t>
  </si>
  <si>
    <t>Costo Anno 1</t>
  </si>
  <si>
    <t>Costo Anno 2</t>
  </si>
  <si>
    <t>Costo Anno 3</t>
  </si>
  <si>
    <t>Costo Anno 4</t>
  </si>
  <si>
    <t>Costo Anno 5</t>
  </si>
  <si>
    <t>Costo Anno 6</t>
  </si>
  <si>
    <t>Kubernetes Cluster</t>
  </si>
  <si>
    <t>N° di cluster moltiplicato per ogni ambiente</t>
  </si>
  <si>
    <t>Middleware Kubernates - gestione NameSpace</t>
  </si>
  <si>
    <t>Middleware Kubernates - gestione Pod Deployment</t>
  </si>
  <si>
    <t>VM - EC2 - Compute Engine - VMs</t>
  </si>
  <si>
    <t>N° di VM</t>
  </si>
  <si>
    <t>Storage Object Based Storage</t>
  </si>
  <si>
    <t>N° di OBS</t>
  </si>
  <si>
    <t>Storage Disks</t>
  </si>
  <si>
    <t>N° di dischi</t>
  </si>
  <si>
    <t>Database - PostgreSql - EDB on Microservice</t>
  </si>
  <si>
    <t>N° di istanze (DB Engine)</t>
  </si>
  <si>
    <t>Database - PostgreSql - PaaS</t>
  </si>
  <si>
    <t>N° di risorsa cloud</t>
  </si>
  <si>
    <t>Database - SQL Server - IaaS</t>
  </si>
  <si>
    <t>N° di istanze (DB Engine) n° VM</t>
  </si>
  <si>
    <t>Database - SQL Server - PaaS</t>
  </si>
  <si>
    <t xml:space="preserve">N° di istanze (DB Engine) RDS - Cloud SQL - SQL Database - </t>
  </si>
  <si>
    <t>Database - MySQL - IaaS</t>
  </si>
  <si>
    <t>n° VM</t>
  </si>
  <si>
    <t>Database - MySQL - PaaS</t>
  </si>
  <si>
    <t>RDS, Aurora - CloudSQL, AlloyDB - DB for MySQL</t>
  </si>
  <si>
    <t>Networking</t>
  </si>
  <si>
    <t xml:space="preserve">N° di VNet </t>
  </si>
  <si>
    <t>CISCO MCD - WAF &amp; Firewall</t>
  </si>
  <si>
    <t>N° di appliance</t>
  </si>
  <si>
    <t>F5 - WAF</t>
  </si>
  <si>
    <t>F5 - API</t>
  </si>
  <si>
    <t>N° di Istanze</t>
  </si>
  <si>
    <t>Middleware</t>
  </si>
  <si>
    <t>N° di istanze</t>
  </si>
  <si>
    <t>Monitoring</t>
  </si>
  <si>
    <t>Security Management</t>
  </si>
  <si>
    <t>N° di organization</t>
  </si>
  <si>
    <t>Database - NoSQL - PaaS</t>
  </si>
  <si>
    <t>Storage</t>
  </si>
  <si>
    <t>SMB file share</t>
  </si>
  <si>
    <t>TOTALE RUNNING ACN CLOUD</t>
  </si>
  <si>
    <t>Impatto Progettuale anno 2026 su 12 mesi</t>
  </si>
  <si>
    <t>Riepilogo</t>
  </si>
  <si>
    <t>Tipologia</t>
  </si>
  <si>
    <t xml:space="preserve">Impatto RUN Progettuale </t>
  </si>
  <si>
    <t>Costi Ricorsivi Anni Successivi</t>
  </si>
  <si>
    <t>Mesi progetto</t>
  </si>
  <si>
    <t>TOTALE RUNNING ACN  CLOUD</t>
  </si>
  <si>
    <t>TOTALE IVA INCLUSA</t>
  </si>
  <si>
    <t>Impatto Progettuale anno 2026 sui mesi di progetto</t>
  </si>
  <si>
    <t>Anno</t>
  </si>
  <si>
    <t>Tipologia Costo</t>
  </si>
  <si>
    <t>Budget complessivo Progetto</t>
  </si>
  <si>
    <t>Budget CTO</t>
  </si>
  <si>
    <t>Allocazione Budget CTO su Budget complessivo Progetto</t>
  </si>
  <si>
    <t>Richieste fondi</t>
  </si>
  <si>
    <t>Offerte</t>
  </si>
  <si>
    <t>Delta (Budget CTO - Richieste Fondi)</t>
  </si>
  <si>
    <t>Macro attività</t>
  </si>
  <si>
    <t>Budget Consigliato</t>
  </si>
  <si>
    <t>Budget Stimato</t>
  </si>
  <si>
    <t>Delta Stimato vs Consigliato</t>
  </si>
  <si>
    <t>% distribuzione task Stimato</t>
  </si>
  <si>
    <t>% distribuzione task
(ORIG)</t>
  </si>
  <si>
    <t>Delta</t>
  </si>
  <si>
    <t>% distribuzione task
Consigliato</t>
  </si>
  <si>
    <t>% Delta Actual vs. Consigliato</t>
  </si>
  <si>
    <t>Budget Consumato</t>
  </si>
  <si>
    <t>Budget Residuo</t>
  </si>
  <si>
    <t>capEx</t>
  </si>
  <si>
    <t>Governance</t>
  </si>
  <si>
    <t>Provisioning-Configuration</t>
  </si>
  <si>
    <t>QA</t>
  </si>
  <si>
    <t>Load Test</t>
  </si>
  <si>
    <t>Observability</t>
  </si>
  <si>
    <t>DevOps</t>
  </si>
  <si>
    <t>RFC</t>
  </si>
  <si>
    <t>opEx</t>
  </si>
  <si>
    <t>Subscription</t>
  </si>
  <si>
    <t>-</t>
  </si>
  <si>
    <t>DC</t>
  </si>
  <si>
    <t>AQ</t>
  </si>
  <si>
    <t>OF</t>
  </si>
  <si>
    <t>RCF</t>
  </si>
  <si>
    <t>RDA</t>
  </si>
  <si>
    <t>AUTH</t>
  </si>
  <si>
    <t>ORDINE</t>
  </si>
  <si>
    <t>Data ricezione proposta / approvazione rich. Fondi</t>
  </si>
  <si>
    <t>Fornitore</t>
  </si>
  <si>
    <t>Descrizione attività</t>
  </si>
  <si>
    <t>CAPEX / OPEX</t>
  </si>
  <si>
    <t>Quarter in cui spesare l'attività</t>
  </si>
  <si>
    <t>Data inizio attività</t>
  </si>
  <si>
    <t>Data fine attività</t>
  </si>
  <si>
    <t>Ambito</t>
  </si>
  <si>
    <t>NR. FTE</t>
  </si>
  <si>
    <t>% Allocazione</t>
  </si>
  <si>
    <t>Colonna3</t>
  </si>
  <si>
    <t>Colonna4</t>
  </si>
  <si>
    <t>Colonna5</t>
  </si>
  <si>
    <t>Numero Mesi</t>
  </si>
  <si>
    <t>GG. Lavorativi</t>
  </si>
  <si>
    <t>Quotazione giornaliera</t>
  </si>
  <si>
    <t>Importo i.e.</t>
  </si>
  <si>
    <t>Importo 
i.i</t>
  </si>
  <si>
    <t>Accordo Quadro 
Y / N</t>
  </si>
  <si>
    <t>ID Richiesta fondi</t>
  </si>
  <si>
    <t>ID RdA</t>
  </si>
  <si>
    <t>Gara Y/N</t>
  </si>
  <si>
    <t>Note</t>
  </si>
  <si>
    <t>wait</t>
  </si>
  <si>
    <t>Imola Informatica</t>
  </si>
  <si>
    <t>Realizzazione delle Pipeline e Supporto al DEV/OPS</t>
  </si>
  <si>
    <t>giugno - luglio</t>
  </si>
  <si>
    <t>21/7/2026</t>
  </si>
  <si>
    <t>Infrastrutture</t>
  </si>
  <si>
    <t>Stima</t>
  </si>
  <si>
    <t>Quality Assurance all’interno del progetto --&gt; verifica qualità del SW
- Verifica DR
- Observability
- Security (Istio Policy, Encryption, Vulnerability)
- DevOps
- Design e Code Review
- Architecture Compliance
- Infrastructure Compliance
- Testing e UAT</t>
  </si>
  <si>
    <t>giugno - dicembre</t>
  </si>
  <si>
    <t>31/12/2026</t>
  </si>
  <si>
    <t>Definizione, esecuzione e valutazione dei load test</t>
  </si>
  <si>
    <t>settembre - dicembre</t>
  </si>
  <si>
    <t>01/012/2026</t>
  </si>
  <si>
    <t>Estensione delle dashboard di observability</t>
  </si>
  <si>
    <t>aprile - agosto</t>
  </si>
  <si>
    <t>Change Enablers</t>
  </si>
  <si>
    <t>luglio - settembre</t>
  </si>
  <si>
    <t>31/09/2026</t>
  </si>
  <si>
    <t>Pipeline DevOps</t>
  </si>
  <si>
    <t>N/A</t>
  </si>
  <si>
    <t>RedHat</t>
  </si>
  <si>
    <t>Tot. licenze Infra</t>
  </si>
  <si>
    <t>Dynatrace</t>
  </si>
  <si>
    <t>Tot. licenze Dynatyrace</t>
  </si>
  <si>
    <t>Quota apertura / monitoring RFC</t>
  </si>
  <si>
    <t>Canone running infrastruttura</t>
  </si>
  <si>
    <t>Canone running infrastruttura Cloud</t>
  </si>
  <si>
    <t>febbraio - dicembre</t>
  </si>
  <si>
    <t>capEx CTO Anno 2026</t>
  </si>
  <si>
    <t>Voce di Spesa</t>
  </si>
  <si>
    <t>Descrizione</t>
  </si>
  <si>
    <t>Importo i.i.</t>
  </si>
  <si>
    <t xml:space="preserve">
- Pipeline DevOps</t>
  </si>
  <si>
    <t>Tot.</t>
  </si>
  <si>
    <t>opEx CTO Anno 2026</t>
  </si>
  <si>
    <t>Stess Test</t>
  </si>
  <si>
    <t>FTE</t>
  </si>
  <si>
    <t>Tariffa giornaliera i.e.</t>
  </si>
  <si>
    <t>Azienda</t>
  </si>
  <si>
    <t>GG</t>
  </si>
  <si>
    <t>Totale i.e.</t>
  </si>
  <si>
    <t>PM/Analista Funzionale / Specialist / Test manager</t>
  </si>
  <si>
    <t>Sidesoft</t>
  </si>
  <si>
    <t>Analista Tecnico / programmatore Senior / Test Analyst</t>
  </si>
  <si>
    <t>Programmatore / Tester</t>
  </si>
  <si>
    <t>Observability (Dynatrace)</t>
  </si>
  <si>
    <t>OBSERVABILITY
ENGINEER/SPECIALIST</t>
  </si>
  <si>
    <t>Reply</t>
  </si>
  <si>
    <t>OBSERVABILITY ARCHITECT</t>
  </si>
  <si>
    <t>QA - NTT Data</t>
  </si>
  <si>
    <t xml:space="preserve">Azienda </t>
  </si>
  <si>
    <t>Architetto IT Senior</t>
  </si>
  <si>
    <t>NTT Data</t>
  </si>
  <si>
    <t>Governance PM</t>
  </si>
  <si>
    <t>PM Senior</t>
  </si>
  <si>
    <t>Accenture</t>
  </si>
  <si>
    <t>Senior Infrastructure Automation Specialist</t>
  </si>
  <si>
    <t>Studio Fattibilità</t>
  </si>
  <si>
    <t>PM Junior</t>
  </si>
  <si>
    <t>Cloud Solution Architecth</t>
  </si>
  <si>
    <t>Cloud Engineer</t>
  </si>
  <si>
    <t>Supporto Pipeline DevOps</t>
  </si>
  <si>
    <t>Enterprise solution Consultant</t>
  </si>
  <si>
    <t>Supervisore e Coordinatore</t>
  </si>
  <si>
    <t>Architetto</t>
  </si>
  <si>
    <t>PM</t>
  </si>
  <si>
    <t>Analista funzionale</t>
  </si>
  <si>
    <t>Analista tecnico</t>
  </si>
  <si>
    <t>Infrastructure Automation Specialist</t>
  </si>
  <si>
    <t>System Administrator</t>
  </si>
  <si>
    <r>
      <t xml:space="preserve">Di seguito il dettaglio esplicativo dei parametri considerati per fascia: </t>
    </r>
    <r>
      <rPr>
        <b/>
        <sz val="11"/>
        <color theme="1"/>
        <rFont val="Arial"/>
        <family val="2"/>
      </rPr>
      <t>la presenza di almeno uno di questi parametri caratterizza la fascia da attribuire al progetto</t>
    </r>
  </si>
  <si>
    <t>NO IMPATTI CTO</t>
  </si>
  <si>
    <t>LIGHT</t>
  </si>
  <si>
    <t>MEDIUM</t>
  </si>
  <si>
    <t>COMPLESSO</t>
  </si>
  <si>
    <t>SPECIALE</t>
  </si>
  <si>
    <t>Esempio Progetto</t>
  </si>
  <si>
    <t>Nuove funzioni su APP MOBILE</t>
  </si>
  <si>
    <t>Evoluzione DOL</t>
  </si>
  <si>
    <t>CORPORATE</t>
  </si>
  <si>
    <t>FREE/ Open Finance</t>
  </si>
  <si>
    <r>
      <t xml:space="preserve">Budget Progettuale </t>
    </r>
    <r>
      <rPr>
        <i/>
        <sz val="11"/>
        <color rgb="FF000000"/>
        <rFont val="Arial"/>
        <family val="2"/>
      </rPr>
      <t>(k€, i.i.)</t>
    </r>
  </si>
  <si>
    <t>Fino a 500</t>
  </si>
  <si>
    <t>500 – 1.000</t>
  </si>
  <si>
    <t>1.000 – 5.000</t>
  </si>
  <si>
    <t>&gt; 5.000</t>
  </si>
  <si>
    <t>Durata progettuale</t>
  </si>
  <si>
    <t>1 – 6 mesi</t>
  </si>
  <si>
    <t>7 – 9 mesi</t>
  </si>
  <si>
    <t>&gt; 1 anno</t>
  </si>
  <si>
    <t>pluriennale</t>
  </si>
  <si>
    <t>Impatto architetturale/ Infrastrutturale</t>
  </si>
  <si>
    <t>NO</t>
  </si>
  <si>
    <t>SI</t>
  </si>
  <si>
    <t>Entità Impatto</t>
  </si>
  <si>
    <t>NA</t>
  </si>
  <si>
    <t>Limitato</t>
  </si>
  <si>
    <t>Moderato</t>
  </si>
  <si>
    <t>Considerevole</t>
  </si>
  <si>
    <t>Sostanziale</t>
  </si>
  <si>
    <t>Impatto Tecnologico</t>
  </si>
  <si>
    <t>In continuità con AS IS</t>
  </si>
  <si>
    <t>Evoluzioni tecnologica (no nuove)</t>
  </si>
  <si>
    <t>Evoluzione/ nuova tecnologia</t>
  </si>
  <si>
    <t>Cambio tecnologico</t>
  </si>
  <si>
    <t>Rischio sul Servizio</t>
  </si>
  <si>
    <t>Minimo</t>
  </si>
  <si>
    <t>Rilevante</t>
  </si>
  <si>
    <t>Radicale</t>
  </si>
  <si>
    <t>Pipeline</t>
  </si>
  <si>
    <t>Max 10</t>
  </si>
  <si>
    <t>30 - 60</t>
  </si>
  <si>
    <t>&gt; 60</t>
  </si>
  <si>
    <t>Numero Microservizi</t>
  </si>
  <si>
    <t>0 – 15 nuovi container</t>
  </si>
  <si>
    <t>16 – 30 nuovi container</t>
  </si>
  <si>
    <t>31 – 100 nuovi container</t>
  </si>
  <si>
    <t>&gt; 100 nuovi container</t>
  </si>
  <si>
    <t>Impatto Base Dati</t>
  </si>
  <si>
    <t xml:space="preserve">&lt; 1 TB (Dip) </t>
  </si>
  <si>
    <t>1 – 10 TB (Dip)</t>
  </si>
  <si>
    <t>10 – 50 TB (Dip)</t>
  </si>
  <si>
    <t>&gt; 50 TB (Dip)</t>
  </si>
  <si>
    <t>&lt; 10 GB (Host)</t>
  </si>
  <si>
    <t>10 – 50 GB (Host)</t>
  </si>
  <si>
    <t>50 – 100 GB (Host)</t>
  </si>
  <si>
    <t>&gt; 100 GB (Host)</t>
  </si>
  <si>
    <t>Potenza di calcolo</t>
  </si>
  <si>
    <t>0 – 30 core</t>
  </si>
  <si>
    <t>30 –  60 core</t>
  </si>
  <si>
    <t>60 – 200 core</t>
  </si>
  <si>
    <t>&gt; 200 core</t>
  </si>
  <si>
    <t>N° Batch schedulazioni</t>
  </si>
  <si>
    <t>0 – 30</t>
  </si>
  <si>
    <t>60 - 200</t>
  </si>
  <si>
    <t>&gt; 200</t>
  </si>
  <si>
    <t>Sistemi di monitoraggio</t>
  </si>
  <si>
    <t>Esistente (no action)</t>
  </si>
  <si>
    <t>Osservability</t>
  </si>
  <si>
    <r>
      <t xml:space="preserve">Magnitudo test </t>
    </r>
    <r>
      <rPr>
        <sz val="11"/>
        <color rgb="FF000000"/>
        <rFont val="Arial"/>
        <family val="2"/>
      </rPr>
      <t>(Governance test)</t>
    </r>
  </si>
  <si>
    <t>Fino a 100 Test Cases</t>
  </si>
  <si>
    <t>100 –  1.000 Test Cases</t>
  </si>
  <si>
    <t>1.000 – 10.000 Test Cases</t>
  </si>
  <si>
    <t>&gt; 10.000 Test Cases</t>
  </si>
  <si>
    <t>Complessità: bassa</t>
  </si>
  <si>
    <t>Complessità: media</t>
  </si>
  <si>
    <t>Complessità: elevata</t>
  </si>
  <si>
    <t xml:space="preserve">Marco – stima CTO </t>
  </si>
  <si>
    <t>Nessuna macro-stima lato CTO</t>
  </si>
  <si>
    <t>50 – 100</t>
  </si>
  <si>
    <t>100 - 200</t>
  </si>
  <si>
    <t>200 - 500</t>
  </si>
  <si>
    <t>Macro- stima da determinare sulla base delle peculiarità</t>
  </si>
  <si>
    <t>(k€ ,i.i.)</t>
  </si>
  <si>
    <t>(20-40 Opex, 40 – 60 Capex)</t>
  </si>
  <si>
    <t>(40-90 Opex, 60-110 Capex)</t>
  </si>
  <si>
    <t>(90-275 Opex, 110-225 Capex)</t>
  </si>
  <si>
    <t>Opex annuale (ricorrente)</t>
  </si>
  <si>
    <t>TIPOLOGIA</t>
  </si>
  <si>
    <t>DESCRIZIONE DELL’INTERVENTO</t>
  </si>
  <si>
    <t>IMPORTO</t>
  </si>
  <si>
    <t>Data messa in uso</t>
  </si>
  <si>
    <t>SOCIETA’ GRUPPO CA</t>
  </si>
  <si>
    <t>Q1 - Q2</t>
  </si>
  <si>
    <t>Q3 - Q4</t>
  </si>
  <si>
    <t>Investimento IT</t>
  </si>
  <si>
    <t>TOTALE CAPEX</t>
  </si>
  <si>
    <t>Consulenze</t>
  </si>
  <si>
    <t>Onere progettuale IT</t>
  </si>
  <si>
    <t xml:space="preserve">Onere ricorrente </t>
  </si>
  <si>
    <t>TOTALE OPEX</t>
  </si>
  <si>
    <t>COSTO IVA</t>
  </si>
  <si>
    <t>Sistema operativo</t>
  </si>
  <si>
    <t>Prezzo unitario</t>
  </si>
  <si>
    <t>prezzo ivato</t>
  </si>
  <si>
    <t>costo dal secondo anno</t>
  </si>
  <si>
    <t xml:space="preserve">Windows Standard + SCCM (16 core) </t>
  </si>
  <si>
    <t>Windows Datacenter + SCCM (16 core)</t>
  </si>
  <si>
    <t>SCCM</t>
  </si>
  <si>
    <t>Linux Suse</t>
  </si>
  <si>
    <t>Linux Red Hat (host esx + Smart) Premium</t>
  </si>
  <si>
    <t>Linux Red Hat (host esx + Smart) Standard</t>
  </si>
  <si>
    <t>Virtualizzazione</t>
  </si>
  <si>
    <t>Vmware OEM</t>
  </si>
  <si>
    <t>Monitoraggio</t>
  </si>
  <si>
    <t>Splunk (GB/day) - SubScription</t>
  </si>
  <si>
    <t>Dyntrace (HostUnit, copre 16 GB di RAM del server ) -SubScription (legacy mode)</t>
  </si>
  <si>
    <t>Front-end</t>
  </si>
  <si>
    <t>Subscription sharepoint</t>
  </si>
  <si>
    <t xml:space="preserve">Jboss - standard (16 core preprod) </t>
  </si>
  <si>
    <t xml:space="preserve">Jbos - premium  (16 core prod) </t>
  </si>
  <si>
    <t>websphere - PVU (1core=70PVU)</t>
  </si>
  <si>
    <t>Database</t>
  </si>
  <si>
    <t>SQL server Enterprise (costo per 2 core)</t>
  </si>
  <si>
    <t>InfoScale Veritas</t>
  </si>
  <si>
    <t>Infoscale</t>
  </si>
  <si>
    <t>Schedulazione</t>
  </si>
  <si>
    <t>TWS a job</t>
  </si>
  <si>
    <t>Alta Disponibilità</t>
  </si>
  <si>
    <t>SRM</t>
  </si>
  <si>
    <t>HA RED HAT</t>
  </si>
  <si>
    <t>HA RED HAT unlimited guest</t>
  </si>
  <si>
    <t>Altro</t>
  </si>
  <si>
    <t>Certificato SSL</t>
  </si>
  <si>
    <t>MQ - PVU</t>
  </si>
  <si>
    <t xml:space="preserve">Mirantis - DR </t>
  </si>
  <si>
    <t>OpenShift - DR</t>
  </si>
  <si>
    <t>OpenShift - PreProd</t>
  </si>
  <si>
    <t>MongoDB (Numero Nodi - Produzione)</t>
  </si>
  <si>
    <t>MongoDB (Numero Nodi -Preprouzione)</t>
  </si>
  <si>
    <t>PostGres SQL costo a core produzione</t>
  </si>
  <si>
    <t>PostGres SQL costo a core pre-produzione</t>
  </si>
  <si>
    <t>PG AI Enterprise Premium</t>
  </si>
  <si>
    <t>Servizio 1</t>
  </si>
  <si>
    <t>Input</t>
  </si>
  <si>
    <t>Sviluppo/Collaudo</t>
  </si>
  <si>
    <t>Parallelo</t>
  </si>
  <si>
    <t xml:space="preserve">Produzione </t>
  </si>
  <si>
    <t>Numero di pod on cloud</t>
  </si>
  <si>
    <t>Numero di pod on premise</t>
  </si>
  <si>
    <t>Dimensionamento pod on cloud (CPU e RAM)</t>
  </si>
  <si>
    <t>Dimensionamento pod on premise (CPU e RAM)</t>
  </si>
  <si>
    <t>Dimensionamento logging previsto al mese on cloud (in GB)</t>
  </si>
  <si>
    <t>2GB</t>
  </si>
  <si>
    <t>Collaudo</t>
  </si>
  <si>
    <t>DR</t>
  </si>
  <si>
    <t>Tot</t>
  </si>
  <si>
    <t>CPU Standard</t>
  </si>
  <si>
    <t xml:space="preserve">CPU Premium </t>
  </si>
  <si>
    <t>Server 4CPU</t>
  </si>
  <si>
    <t>Server 8 Cpu</t>
  </si>
  <si>
    <t xml:space="preserve">Spazio Disco </t>
  </si>
  <si>
    <t>Backup</t>
  </si>
  <si>
    <t>NameSpace</t>
  </si>
  <si>
    <t>PodDepolyment</t>
  </si>
  <si>
    <t>Servizio 2</t>
  </si>
  <si>
    <t>Dimensionamento storage</t>
  </si>
  <si>
    <t>4GB</t>
  </si>
  <si>
    <t>17GB</t>
  </si>
  <si>
    <t>Dimensionamento database</t>
  </si>
  <si>
    <t>1GB</t>
  </si>
  <si>
    <t>3GB</t>
  </si>
  <si>
    <t>numero di nodi</t>
  </si>
  <si>
    <t>Dimensionamento VM (CPU e RAM)</t>
  </si>
  <si>
    <t>1 CPU - 4GB RAM</t>
  </si>
  <si>
    <t>4 CPU – 16GB RAM</t>
  </si>
  <si>
    <t>Gestione Istanze Db</t>
  </si>
  <si>
    <t xml:space="preserve">Spazio Documenti </t>
  </si>
  <si>
    <t>Servizio 3</t>
  </si>
  <si>
    <t>Servizio 4</t>
  </si>
  <si>
    <t>Dimensione pod  (CPU RAM)</t>
  </si>
  <si>
    <t>Dimensionamento DB</t>
  </si>
  <si>
    <t xml:space="preserve">Totale Richieste </t>
  </si>
  <si>
    <t>OPenShift Sdandard</t>
  </si>
  <si>
    <t>OPenShift Premium</t>
  </si>
  <si>
    <t>Tempo di fornitura</t>
  </si>
  <si>
    <t>Ciclo di vita (*)</t>
  </si>
  <si>
    <t xml:space="preserve"> Costo Anno 1  
AGO25-LUG26</t>
  </si>
  <si>
    <t xml:space="preserve"> Costo Anno 2 
AGO26-LUG27</t>
  </si>
  <si>
    <t xml:space="preserve"> Costo Anno 3 
AGO28-LUG29</t>
  </si>
  <si>
    <t xml:space="preserve"> Costo Anno 4 
AGO30-LUG31</t>
  </si>
  <si>
    <t xml:space="preserve"> Costo Anno 5 
AGO32-LUG33</t>
  </si>
  <si>
    <t xml:space="preserve"> Costo Anno 6 
AGO26-LUG27</t>
  </si>
  <si>
    <t>TOTALE + IVA</t>
  </si>
  <si>
    <t xml:space="preserve"> Costo Anno 1  
 reale</t>
  </si>
  <si>
    <t xml:space="preserve"> Costo Anno 2  
reale</t>
  </si>
  <si>
    <t xml:space="preserve"> Costo Anno 3
reale</t>
  </si>
  <si>
    <t xml:space="preserve"> Costo Anno 4
reale</t>
  </si>
  <si>
    <t xml:space="preserve"> Costo Anno 5
reale</t>
  </si>
  <si>
    <t xml:space="preserve"> Costo Anno 6
reale</t>
  </si>
  <si>
    <t xml:space="preserve"> Costo Anno 7
reale</t>
  </si>
  <si>
    <t>TOTALE reale + IVA</t>
  </si>
  <si>
    <t xml:space="preserve"> #CPU </t>
  </si>
  <si>
    <t xml:space="preserve"> Tera</t>
  </si>
  <si>
    <t>Server virtuale - 4 vCore</t>
  </si>
  <si>
    <t>6 ore lavorative</t>
  </si>
  <si>
    <t xml:space="preserve"> 5 anni </t>
  </si>
  <si>
    <t xml:space="preserve"> Senza OS, senza Vmware </t>
  </si>
  <si>
    <t>Server virtuale - 8 vCore</t>
  </si>
  <si>
    <t>3 Giorni Lavorativi</t>
  </si>
  <si>
    <t xml:space="preserve"> 3 anni </t>
  </si>
  <si>
    <t xml:space="preserve"> Replicato, non compresso </t>
  </si>
  <si>
    <t xml:space="preserve"> Non replicato, non compresso </t>
  </si>
  <si>
    <t>OS gestione Linux / Windows</t>
  </si>
  <si>
    <t xml:space="preserve"> 1 anno </t>
  </si>
  <si>
    <t xml:space="preserve">Gestione OS </t>
  </si>
  <si>
    <r>
      <t xml:space="preserve">Database Oracle (non RAC) - gestione istanze </t>
    </r>
    <r>
      <rPr>
        <b/>
        <sz val="10"/>
        <rFont val="Calibri"/>
        <family val="2"/>
        <scheme val="minor"/>
      </rPr>
      <t>(*)</t>
    </r>
  </si>
  <si>
    <t>5 Giorni Lavorativi</t>
  </si>
  <si>
    <t xml:space="preserve"> Operation - management DBMS instance </t>
  </si>
  <si>
    <r>
      <t xml:space="preserve">Database Ms SQL - gestione istanze </t>
    </r>
    <r>
      <rPr>
        <b/>
        <sz val="10"/>
        <rFont val="Calibri"/>
        <family val="2"/>
        <scheme val="minor"/>
      </rPr>
      <t>(*)</t>
    </r>
  </si>
  <si>
    <t xml:space="preserve"> Operation - management Middleware instance </t>
  </si>
  <si>
    <t>F5 i10800 con WAF</t>
  </si>
  <si>
    <t>35 Giorni Lavorativi</t>
  </si>
  <si>
    <t>Fornitura e gestione di 1 contesto virtuale con 2vCore (Virtual Core) suddiviso su 4 apparati hardware (1 active e 3 in stand-by)</t>
  </si>
  <si>
    <t>Middleware Kubernates -Gestione Pod Deployment</t>
  </si>
  <si>
    <t>Middleware Kubernates -Gestione Namespace</t>
  </si>
  <si>
    <t>OCPu</t>
  </si>
  <si>
    <t>TB Oracle exadtaa</t>
  </si>
  <si>
    <t>ATTENZIONE NOTE/ESEMPI</t>
  </si>
  <si>
    <t>(*) La logica di pricing prevede un prezzo per singolo DB (MSSQL) o Schema (Oracle)</t>
  </si>
  <si>
    <t>La gestione del OS è compresa nella voce server virtuale e fisico. 
Mentre per quanto riguarda la voce corrispettiva a Catalogo “OS gestione Linux/Windows”, questa fa riferimento ad una casistica di reinstallazione e gestione dell'OS su un server esistente il cui HW non è fornito da Accenture ma CAGS (caso raro).</t>
  </si>
  <si>
    <t xml:space="preserve">Se chiedo spazio disco di 1 TB, devo anche sommare entrambe le voci dei backup ovvero 1 TB SSD di dati costa il primo anno: 868,35 + 2.184,42 + 201,55 </t>
  </si>
  <si>
    <t>anni alla fine del contratto</t>
  </si>
  <si>
    <t>anni da considerare ma manutenzione</t>
  </si>
  <si>
    <t>Tecnologie</t>
  </si>
  <si>
    <t>Unità di misura</t>
  </si>
  <si>
    <t>AWS</t>
  </si>
  <si>
    <t>GCP</t>
  </si>
  <si>
    <t>Azure</t>
  </si>
  <si>
    <t>Voce</t>
  </si>
  <si>
    <t>Canone Annuo</t>
  </si>
  <si>
    <t>Container</t>
  </si>
  <si>
    <t>Managed Kubernetes</t>
  </si>
  <si>
    <t>N° di cluster</t>
  </si>
  <si>
    <t>EKS</t>
  </si>
  <si>
    <t>GKE</t>
  </si>
  <si>
    <t>AKS</t>
  </si>
  <si>
    <t>Operation</t>
  </si>
  <si>
    <t>N di namespace</t>
  </si>
  <si>
    <t>N di POD Deployment</t>
  </si>
  <si>
    <t>VM</t>
  </si>
  <si>
    <t>Virtual Machines</t>
  </si>
  <si>
    <t>EC2</t>
  </si>
  <si>
    <t>Compute Engine</t>
  </si>
  <si>
    <t>VMs</t>
  </si>
  <si>
    <t>Object Based Storage</t>
  </si>
  <si>
    <t>S3</t>
  </si>
  <si>
    <t>Cloud Storage</t>
  </si>
  <si>
    <t>BLOB Storage</t>
  </si>
  <si>
    <t>Disks</t>
  </si>
  <si>
    <t>Elastic Block Store</t>
  </si>
  <si>
    <t>Persistent Disk</t>
  </si>
  <si>
    <t>PostgreSQL EDB on Microservice</t>
  </si>
  <si>
    <t>Rosa, EKS</t>
  </si>
  <si>
    <t>OCD, GKE</t>
  </si>
  <si>
    <t>ARO, AKS</t>
  </si>
  <si>
    <t>PostgreSQL - PaaS</t>
  </si>
  <si>
    <t>RDS, Aurora</t>
  </si>
  <si>
    <t>CloudSQL, AlloyDB</t>
  </si>
  <si>
    <t>DB for PostgreSQL,</t>
  </si>
  <si>
    <t>SQL Server - IaaS</t>
  </si>
  <si>
    <t>SQL Server - PaaS</t>
  </si>
  <si>
    <t>RDS</t>
  </si>
  <si>
    <t>Cloud SQL</t>
  </si>
  <si>
    <t>SQL Database</t>
  </si>
  <si>
    <t>MySQL - IaaS</t>
  </si>
  <si>
    <t>MySQL - PaaS</t>
  </si>
  <si>
    <t>DB for MySQL,</t>
  </si>
  <si>
    <t>Network</t>
  </si>
  <si>
    <t>VPN, DNS, VPC, Peering, Transit Gateway, Direct Connect, Private Link</t>
  </si>
  <si>
    <t>VPN, DNS, VPC, Peering, Transit Gateway, Direct Connect</t>
  </si>
  <si>
    <t>VPN, DNS, VNet, Peering, Transit Gateway, Express Route</t>
  </si>
  <si>
    <t>CISCO MCD</t>
  </si>
  <si>
    <t>WAF &amp; Firewall</t>
  </si>
  <si>
    <t>Cisco Multi Cloud Defense</t>
  </si>
  <si>
    <t>F5 WAF</t>
  </si>
  <si>
    <t>API Gateway</t>
  </si>
  <si>
    <t>N. di Istanze</t>
  </si>
  <si>
    <t>Nginx</t>
  </si>
  <si>
    <t>Middleware IaaS</t>
  </si>
  <si>
    <t>Redis, Confluent, Kafka, LogStash, Flink</t>
  </si>
  <si>
    <r>
      <t xml:space="preserve">Logging </t>
    </r>
    <r>
      <rPr>
        <i/>
        <sz val="11"/>
        <color theme="1"/>
        <rFont val="Aptos"/>
        <family val="2"/>
      </rPr>
      <t>(vedi nota **)</t>
    </r>
  </si>
  <si>
    <t>CloudWatch</t>
  </si>
  <si>
    <t>Logging</t>
  </si>
  <si>
    <t>Log Analytics</t>
  </si>
  <si>
    <t>Security Posture Management Platform</t>
  </si>
  <si>
    <t>AWS Security HUB</t>
  </si>
  <si>
    <t>GCP Security</t>
  </si>
  <si>
    <t>Azure Security Center</t>
  </si>
  <si>
    <t>NoSQL - PaaS</t>
  </si>
  <si>
    <t>DynamoDB</t>
  </si>
  <si>
    <t>Firestore, Datastore</t>
  </si>
  <si>
    <t>CosmosDB</t>
  </si>
  <si>
    <t>Da valutare in fase di revisione prezzi (*)</t>
  </si>
  <si>
    <t>N. file share</t>
  </si>
  <si>
    <t>FSx</t>
  </si>
  <si>
    <t>Filestore</t>
  </si>
  <si>
    <t>Files</t>
  </si>
  <si>
    <t xml:space="preserve"> Costo Anno 1  
AGO21-LUG22</t>
  </si>
  <si>
    <t xml:space="preserve"> Costo Anno 2 
AGO22-LUG23</t>
  </si>
  <si>
    <t xml:space="preserve"> Costo Anno 3 
AGO23-LUG24</t>
  </si>
  <si>
    <t xml:space="preserve"> Costo Anno 4 
AGO24-LUG25</t>
  </si>
  <si>
    <t xml:space="preserve"> Costo Anno 5 
AGO25-LUG26</t>
  </si>
  <si>
    <t xml:space="preserve"> Costo Anno 7 
AGO27-LUG28</t>
  </si>
  <si>
    <t xml:space="preserve"> Costo Anno 8 
AGO28-LUG29</t>
  </si>
  <si>
    <t xml:space="preserve"> Costo Anno 9 
AGO29-LUG30</t>
  </si>
  <si>
    <t xml:space="preserve"> Costo Anno 10 
AGO30-LUG31</t>
  </si>
  <si>
    <t>Server fisico - 32 Core</t>
  </si>
  <si>
    <t xml:space="preserve"> Senza OS </t>
  </si>
  <si>
    <t>Server</t>
  </si>
  <si>
    <t>N. PreProd</t>
  </si>
  <si>
    <t>N. Prod</t>
  </si>
  <si>
    <t>Costo Pre prod</t>
  </si>
  <si>
    <t>Costo Prod</t>
  </si>
  <si>
    <t>Totale</t>
  </si>
  <si>
    <t>Quantita</t>
  </si>
  <si>
    <t xml:space="preserve"> </t>
  </si>
  <si>
    <t>Spazio Disco</t>
  </si>
  <si>
    <t>PESO</t>
  </si>
  <si>
    <t>GB</t>
  </si>
  <si>
    <t>Gestione Istanze</t>
  </si>
  <si>
    <t>Quantita Pre prod</t>
  </si>
  <si>
    <t>Totale pre prod</t>
  </si>
  <si>
    <t>Quantità Prod</t>
  </si>
  <si>
    <t>Totale Prod</t>
  </si>
  <si>
    <r>
      <t xml:space="preserve">Database Oracle (non RAC) - gestione istanze </t>
    </r>
    <r>
      <rPr>
        <sz val="10"/>
        <rFont val="Calibri"/>
        <family val="2"/>
        <scheme val="minor"/>
      </rPr>
      <t>(*)</t>
    </r>
  </si>
  <si>
    <r>
      <t xml:space="preserve">Database Ms SQL - gestione istanze </t>
    </r>
    <r>
      <rPr>
        <sz val="10"/>
        <rFont val="Calibri"/>
        <family val="2"/>
        <scheme val="minor"/>
      </rPr>
      <t>(*)</t>
    </r>
  </si>
  <si>
    <t>Totale ACN</t>
  </si>
  <si>
    <t>jboss</t>
  </si>
  <si>
    <t xml:space="preserve">Quantità </t>
  </si>
  <si>
    <t xml:space="preserve">Totale </t>
  </si>
  <si>
    <t>Oracle Exadata produzione</t>
  </si>
  <si>
    <t>Oracle Exadata pre-produzione</t>
  </si>
  <si>
    <t>Mirantis</t>
  </si>
  <si>
    <t xml:space="preserve"> Prezzo unitario </t>
  </si>
  <si>
    <t xml:space="preserve"> prezzo ivato </t>
  </si>
  <si>
    <t xml:space="preserve"> Totale </t>
  </si>
  <si>
    <t>Totale 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</si>
</sst>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
    <numFmt numFmtId="164" formatCode="#,##0.00\ &quot;€&quot;;[Red]\-#,##0.00\ &quot;€&quot;"/>
    <numFmt numFmtId="165" formatCode="_-* #,##0.00\ &quot;€&quot;_-;\-* #,##0.00\ &quot;€&quot;_-;_-* &quot;-&quot;??\ &quot;€&quot;_-;_-@_-"/>
    <numFmt numFmtId="166" formatCode="_-* #,##0.00_-;\-* #,##0.00_-;_-* &quot;-&quot;??_-;_-@_-"/>
    <numFmt numFmtId="167" formatCode="&quot;€&quot;\ #,##0.00;[Red]\-&quot;€&quot;\ #,##0.00"/>
    <numFmt numFmtId="168" formatCode="_-&quot;€&quot;\ * #,##0.00_-;\-&quot;€&quot;\ * #,##0.00_-;_-&quot;€&quot;\ * &quot;-&quot;??_-;_-@_-"/>
    <numFmt numFmtId="169" formatCode="_-[$€-410]\ * #,##0.00_-;\-[$€-410]\ * #,##0.00_-;_-[$€-410]\ * &quot;-&quot;??_-;_-@_-"/>
    <numFmt numFmtId="170" formatCode="#,##0.00\ _€"/>
    <numFmt numFmtId="171" formatCode="0.000"/>
    <numFmt numFmtId="172" formatCode="_-* #,##0_-;\-* #,##0_-;_-* &quot;-&quot;??_-;_-@_-"/>
    <numFmt numFmtId="173" formatCode="0.0%"/>
    <numFmt numFmtId="174" formatCode="\+0%;\-0%;0%"/>
    <numFmt numFmtId="175" formatCode="#,##0.00\ &quot;€&quot;"/>
    <numFmt numFmtId="176" formatCode="0.0"/>
  </numFmts>
  <fonts count="76">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scheme val="minor"/>
    </font>
    <font>
      <sz val="10"/>
      <name val="Arial"/>
      <family val="2"/>
    </font>
    <font>
      <b/>
      <sz val="10"/>
      <color rgb="FFFFFFFF"/>
      <name val="Calibri"/>
      <family val="2"/>
      <scheme val="minor"/>
    </font>
    <font>
      <b/>
      <sz val="10"/>
      <color rgb="FF000000"/>
      <name val="Calibri"/>
      <family val="2"/>
      <scheme val="minor"/>
    </font>
    <font>
      <sz val="10"/>
      <color rgb="FF000000"/>
      <name val="Calibri"/>
      <family val="2"/>
      <scheme val="minor"/>
    </font>
    <font>
      <b/>
      <sz val="10"/>
      <name val="Calibri"/>
      <family val="2"/>
      <scheme val="minor"/>
    </font>
    <font>
      <sz val="10"/>
      <name val="Calibri"/>
      <family val="2"/>
      <scheme val="minor"/>
    </font>
    <font>
      <b/>
      <sz val="11"/>
      <color rgb="FF000000"/>
      <name val="Calibri"/>
      <family val="2"/>
      <scheme val="minor"/>
    </font>
    <font>
      <sz val="11"/>
      <color rgb="FF000000"/>
      <name val="Calibri"/>
      <family val="2"/>
      <scheme val="minor"/>
    </font>
    <font>
      <sz val="8"/>
      <color rgb="FF000000"/>
      <name val="Calibri"/>
      <family val="2"/>
      <scheme val="minor"/>
    </font>
    <font>
      <b/>
      <sz val="11"/>
      <color rgb="FFFFFFFF"/>
      <name val="Calibri"/>
      <family val="2"/>
      <scheme val="minor"/>
    </font>
    <font>
      <b/>
      <sz val="11"/>
      <color theme="0" tint="-4.9989318521683403E-2"/>
      <name val="Calibri"/>
      <family val="2"/>
      <scheme val="minor"/>
    </font>
    <font>
      <sz val="11"/>
      <name val="Calibri"/>
      <family val="2"/>
      <scheme val="minor"/>
    </font>
    <font>
      <b/>
      <sz val="11"/>
      <name val="Calibri"/>
      <family val="2"/>
      <scheme val="minor"/>
    </font>
    <font>
      <sz val="11"/>
      <color rgb="FF3F3F76"/>
      <name val="Calibri"/>
      <family val="2"/>
      <scheme val="minor"/>
    </font>
    <font>
      <sz val="11"/>
      <color rgb="FFFF0000"/>
      <name val="Calibri"/>
      <family val="2"/>
      <scheme val="minor"/>
    </font>
    <font>
      <i/>
      <sz val="11"/>
      <name val="Calibri"/>
      <family val="2"/>
      <scheme val="minor"/>
    </font>
    <font>
      <b/>
      <sz val="36"/>
      <color theme="1"/>
      <name val="Calibri"/>
      <family val="2"/>
      <scheme val="minor"/>
    </font>
    <font>
      <b/>
      <i/>
      <sz val="12"/>
      <color theme="0"/>
      <name val="Calibri"/>
      <family val="2"/>
      <scheme val="minor"/>
    </font>
    <font>
      <b/>
      <sz val="12"/>
      <color theme="0"/>
      <name val="Calibri"/>
      <family val="2"/>
      <scheme val="minor"/>
    </font>
    <font>
      <b/>
      <sz val="12"/>
      <color rgb="FFC00000"/>
      <name val="Calibri"/>
      <family val="2"/>
      <scheme val="minor"/>
    </font>
    <font>
      <b/>
      <sz val="12"/>
      <color theme="1"/>
      <name val="Calibri"/>
      <family val="2"/>
      <scheme val="minor"/>
    </font>
    <font>
      <b/>
      <i/>
      <sz val="11"/>
      <color theme="1"/>
      <name val="Calibri"/>
      <family val="2"/>
      <scheme val="minor"/>
    </font>
    <font>
      <sz val="9"/>
      <color rgb="FFC00000"/>
      <name val="Calibri"/>
      <family val="2"/>
      <scheme val="minor"/>
    </font>
    <font>
      <sz val="9"/>
      <color theme="1"/>
      <name val="Calibri"/>
      <family val="2"/>
      <scheme val="minor"/>
    </font>
    <font>
      <b/>
      <sz val="9"/>
      <color theme="1"/>
      <name val="Calibri"/>
      <family val="2"/>
      <scheme val="minor"/>
    </font>
    <font>
      <b/>
      <sz val="11"/>
      <color rgb="FFFF0000"/>
      <name val="Calibri"/>
      <family val="2"/>
      <scheme val="minor"/>
    </font>
    <font>
      <sz val="11"/>
      <color theme="0" tint="-0.34998626667073579"/>
      <name val="Calibri"/>
      <family val="2"/>
      <scheme val="minor"/>
    </font>
    <font>
      <b/>
      <sz val="11"/>
      <color theme="0" tint="-0.34998626667073579"/>
      <name val="Calibri"/>
      <family val="2"/>
      <scheme val="minor"/>
    </font>
    <font>
      <sz val="9"/>
      <color theme="0" tint="-0.34998626667073579"/>
      <name val="Calibri"/>
      <family val="2"/>
      <scheme val="minor"/>
    </font>
    <font>
      <sz val="9"/>
      <name val="Calibri"/>
      <family val="2"/>
      <scheme val="minor"/>
    </font>
    <font>
      <b/>
      <sz val="9"/>
      <color rgb="FF3F3F76"/>
      <name val="Calibri"/>
      <family val="2"/>
      <scheme val="minor"/>
    </font>
    <font>
      <b/>
      <sz val="9"/>
      <color theme="0"/>
      <name val="Calibri"/>
      <family val="2"/>
      <scheme val="minor"/>
    </font>
    <font>
      <i/>
      <sz val="9"/>
      <name val="Calibri"/>
      <family val="2"/>
      <scheme val="minor"/>
    </font>
    <font>
      <i/>
      <sz val="9"/>
      <name val="Calibri"/>
      <family val="2"/>
    </font>
    <font>
      <sz val="9"/>
      <name val="Calibri"/>
      <family val="2"/>
    </font>
    <font>
      <sz val="9"/>
      <color rgb="FFFF0000"/>
      <name val="Calibri"/>
      <family val="2"/>
      <scheme val="minor"/>
    </font>
    <font>
      <i/>
      <sz val="12"/>
      <color theme="0"/>
      <name val="Calibri"/>
      <family val="2"/>
      <scheme val="minor"/>
    </font>
    <font>
      <sz val="11"/>
      <color theme="1"/>
      <name val="Arial"/>
      <family val="2"/>
    </font>
    <font>
      <b/>
      <sz val="11"/>
      <color theme="1"/>
      <name val="Arial"/>
      <family val="2"/>
    </font>
    <font>
      <sz val="18"/>
      <name val="Arial"/>
      <family val="2"/>
    </font>
    <font>
      <b/>
      <sz val="12"/>
      <color rgb="FFFFFFFF"/>
      <name val="Arial"/>
      <family val="2"/>
    </font>
    <font>
      <b/>
      <sz val="11"/>
      <color rgb="FF000000"/>
      <name val="Arial"/>
      <family val="2"/>
    </font>
    <font>
      <sz val="11"/>
      <color rgb="FF000000"/>
      <name val="Arial"/>
      <family val="2"/>
    </font>
    <font>
      <i/>
      <sz val="11"/>
      <color rgb="FF000000"/>
      <name val="Arial"/>
      <family val="2"/>
    </font>
    <font>
      <b/>
      <sz val="11"/>
      <color rgb="FFFFFFFF"/>
      <name val="Arial"/>
      <family val="2"/>
    </font>
    <font>
      <b/>
      <i/>
      <sz val="11"/>
      <color rgb="FFFFFFFF"/>
      <name val="Arial"/>
      <family val="2"/>
    </font>
    <font>
      <sz val="11"/>
      <color rgb="FFFFFFFF"/>
      <name val="Arial"/>
      <family val="2"/>
    </font>
    <font>
      <i/>
      <sz val="10.5"/>
      <color rgb="FFFFFFFF"/>
      <name val="Arial"/>
      <family val="2"/>
    </font>
    <font>
      <b/>
      <sz val="10.5"/>
      <color rgb="FFFFFFFF"/>
      <name val="Arial"/>
      <family val="2"/>
    </font>
    <font>
      <b/>
      <sz val="10"/>
      <color rgb="FF000000"/>
      <name val="Arial"/>
      <family val="2"/>
    </font>
    <font>
      <sz val="9"/>
      <color rgb="FF000000"/>
      <name val="Arial"/>
      <family val="2"/>
    </font>
    <font>
      <sz val="11"/>
      <color rgb="FF000000"/>
      <name val="Calibri"/>
      <family val="2"/>
    </font>
    <font>
      <b/>
      <sz val="10"/>
      <color rgb="FFFFFFFF"/>
      <name val="Arial"/>
      <family val="2"/>
    </font>
    <font>
      <sz val="10"/>
      <color theme="1"/>
      <name val="Calibri"/>
      <family val="2"/>
      <scheme val="minor"/>
    </font>
    <font>
      <sz val="10"/>
      <color rgb="FFFF0000"/>
      <name val="Calibri"/>
      <family val="2"/>
      <scheme val="minor"/>
    </font>
    <font>
      <b/>
      <sz val="10"/>
      <color rgb="FFFF0000"/>
      <name val="Calibri"/>
      <family val="2"/>
      <scheme val="minor"/>
    </font>
    <font>
      <sz val="11"/>
      <name val="Calibri"/>
      <family val="2"/>
    </font>
    <font>
      <b/>
      <sz val="11"/>
      <name val="Calibri"/>
      <family val="2"/>
    </font>
    <font>
      <b/>
      <sz val="11"/>
      <color rgb="FFFFFFFF"/>
      <name val="Aptos"/>
      <family val="2"/>
    </font>
    <font>
      <b/>
      <sz val="11"/>
      <color theme="1"/>
      <name val="Aptos"/>
      <family val="2"/>
    </font>
    <font>
      <b/>
      <sz val="11"/>
      <color rgb="FF000000"/>
      <name val="Aptos"/>
      <family val="2"/>
    </font>
    <font>
      <sz val="11"/>
      <color rgb="FF000000"/>
      <name val="Aptos"/>
      <family val="2"/>
    </font>
    <font>
      <sz val="11"/>
      <color theme="1"/>
      <name val="Aptos"/>
      <family val="2"/>
    </font>
    <font>
      <i/>
      <sz val="11"/>
      <color theme="1"/>
      <name val="Aptos"/>
      <family val="2"/>
    </font>
    <font>
      <sz val="9"/>
      <color indexed="81"/>
      <name val="Tahoma"/>
      <family val="2"/>
    </font>
    <font>
      <b/>
      <sz val="9"/>
      <color indexed="81"/>
      <name val="Tahoma"/>
      <family val="2"/>
    </font>
    <font>
      <sz val="8"/>
      <name val="Calibri"/>
      <family val="2"/>
      <scheme val="minor"/>
    </font>
    <font>
      <i/>
      <sz val="11"/>
      <color rgb="FF000000"/>
      <name val="Aptos"/>
      <family val="2"/>
    </font>
    <font>
      <b/>
      <sz val="9"/>
      <color rgb="FFFF0000"/>
      <name val="Calibri"/>
      <family val="2"/>
      <scheme val="minor"/>
    </font>
    <font>
      <sz val="9"/>
      <color indexed="81"/>
      <name val="Tahoma"/>
      <charset val="1"/>
    </font>
    <font>
      <b/>
      <sz val="9"/>
      <color indexed="81"/>
      <name val="Tahoma"/>
      <charset val="1"/>
    </font>
  </fonts>
  <fills count="30">
    <fill>
      <patternFill patternType="none"/>
    </fill>
    <fill>
      <patternFill patternType="gray125"/>
    </fill>
    <fill>
      <patternFill patternType="solid">
        <fgColor theme="4" tint="0.79998168889431442"/>
        <bgColor indexed="64"/>
      </patternFill>
    </fill>
    <fill>
      <patternFill patternType="solid">
        <fgColor rgb="FFFF0000"/>
        <bgColor indexed="64"/>
      </patternFill>
    </fill>
    <fill>
      <patternFill patternType="solid">
        <fgColor theme="6" tint="0.79998168889431442"/>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rgb="FF002060"/>
        <bgColor indexed="64"/>
      </patternFill>
    </fill>
    <fill>
      <patternFill patternType="solid">
        <fgColor rgb="FF006666"/>
        <bgColor indexed="64"/>
      </patternFill>
    </fill>
    <fill>
      <patternFill patternType="solid">
        <fgColor rgb="FF009999"/>
        <bgColor indexed="64"/>
      </patternFill>
    </fill>
    <fill>
      <patternFill patternType="solid">
        <fgColor rgb="FFFFFFFF"/>
        <bgColor indexed="64"/>
      </patternFill>
    </fill>
    <fill>
      <patternFill patternType="solid">
        <fgColor theme="0" tint="-4.9989318521683403E-2"/>
        <bgColor indexed="64"/>
      </patternFill>
    </fill>
    <fill>
      <patternFill patternType="solid">
        <fgColor rgb="FF92D050"/>
        <bgColor indexed="64"/>
      </patternFill>
    </fill>
    <fill>
      <patternFill patternType="solid">
        <fgColor rgb="FF00B0F0"/>
        <bgColor indexed="64"/>
      </patternFill>
    </fill>
    <fill>
      <patternFill patternType="solid">
        <fgColor theme="3"/>
        <bgColor indexed="64"/>
      </patternFill>
    </fill>
    <fill>
      <patternFill patternType="solid">
        <fgColor rgb="FF00B050"/>
        <bgColor indexed="64"/>
      </patternFill>
    </fill>
    <fill>
      <patternFill patternType="solid">
        <fgColor theme="4"/>
        <bgColor indexed="64"/>
      </patternFill>
    </fill>
    <fill>
      <patternFill patternType="solid">
        <fgColor theme="4" tint="0.39997558519241921"/>
        <bgColor indexed="64"/>
      </patternFill>
    </fill>
    <fill>
      <patternFill patternType="solid">
        <fgColor rgb="FFFFCC99"/>
      </patternFill>
    </fill>
    <fill>
      <patternFill patternType="solid">
        <fgColor rgb="FF00205E"/>
        <bgColor indexed="64"/>
      </patternFill>
    </fill>
    <fill>
      <patternFill patternType="solid">
        <fgColor rgb="FF004100"/>
        <bgColor indexed="64"/>
      </patternFill>
    </fill>
    <fill>
      <patternFill patternType="solid">
        <fgColor rgb="FF00205E"/>
        <bgColor theme="4"/>
      </patternFill>
    </fill>
    <fill>
      <patternFill patternType="solid">
        <fgColor rgb="FFFFFF00"/>
        <bgColor indexed="64"/>
      </patternFill>
    </fill>
    <fill>
      <patternFill patternType="solid">
        <fgColor rgb="FF8DB4E2"/>
        <bgColor indexed="64"/>
      </patternFill>
    </fill>
    <fill>
      <patternFill patternType="solid">
        <fgColor rgb="FFF2F2F2"/>
        <bgColor indexed="64"/>
      </patternFill>
    </fill>
    <fill>
      <patternFill patternType="solid">
        <fgColor rgb="FF118559"/>
        <bgColor indexed="64"/>
      </patternFill>
    </fill>
    <fill>
      <patternFill patternType="solid">
        <fgColor rgb="FFE4EFDE"/>
        <bgColor indexed="64"/>
      </patternFill>
    </fill>
    <fill>
      <patternFill patternType="solid">
        <fgColor theme="2" tint="-9.9978637043366805E-2"/>
        <bgColor indexed="64"/>
      </patternFill>
    </fill>
    <fill>
      <patternFill patternType="solid">
        <fgColor rgb="FFF2F7EF"/>
        <bgColor indexed="64"/>
      </patternFill>
    </fill>
    <fill>
      <patternFill patternType="solid">
        <fgColor rgb="FFA6A6A6"/>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rgb="FF7F7F7F"/>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style="thin">
        <color indexed="64"/>
      </left>
      <right/>
      <top style="thin">
        <color theme="4" tint="0.39997558519241921"/>
      </top>
      <bottom/>
      <diagonal/>
    </border>
    <border>
      <left/>
      <right/>
      <top style="thin">
        <color theme="4" tint="0.39997558519241921"/>
      </top>
      <bottom style="thin">
        <color indexed="64"/>
      </bottom>
      <diagonal/>
    </border>
    <border>
      <left/>
      <right/>
      <top/>
      <bottom style="thin">
        <color theme="4" tint="0.39997558519241921"/>
      </bottom>
      <diagonal/>
    </border>
    <border>
      <left/>
      <right/>
      <top style="thin">
        <color indexed="64"/>
      </top>
      <bottom style="thin">
        <color indexed="64"/>
      </bottom>
      <diagonal/>
    </border>
    <border>
      <left style="thin">
        <color rgb="FFFFFFFF"/>
      </left>
      <right style="thin">
        <color rgb="FF7F7F7F"/>
      </right>
      <top style="thin">
        <color rgb="FFFFFFFF"/>
      </top>
      <bottom/>
      <diagonal/>
    </border>
    <border>
      <left style="thin">
        <color rgb="FF7F7F7F"/>
      </left>
      <right style="thin">
        <color rgb="FFFFFFFF"/>
      </right>
      <top style="thin">
        <color rgb="FFFFFFFF"/>
      </top>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style="thin">
        <color rgb="FF7F7F7F"/>
      </right>
      <top/>
      <bottom/>
      <diagonal/>
    </border>
    <border>
      <left style="thin">
        <color rgb="FF7F7F7F"/>
      </left>
      <right style="thin">
        <color rgb="FFFFFFFF"/>
      </right>
      <top/>
      <bottom/>
      <diagonal/>
    </border>
    <border>
      <left style="thin">
        <color rgb="FFFFFFFF"/>
      </left>
      <right/>
      <top/>
      <bottom/>
      <diagonal/>
    </border>
    <border>
      <left/>
      <right style="thin">
        <color rgb="FFFFFFFF"/>
      </right>
      <top/>
      <bottom/>
      <diagonal/>
    </border>
    <border>
      <left/>
      <right style="medium">
        <color rgb="FFFFFFFF"/>
      </right>
      <top/>
      <bottom/>
      <diagonal/>
    </border>
    <border>
      <left style="medium">
        <color rgb="FFFFFFFF"/>
      </left>
      <right style="medium">
        <color rgb="FFFFFFFF"/>
      </right>
      <top/>
      <bottom style="medium">
        <color rgb="FFFFFFFF"/>
      </bottom>
      <diagonal/>
    </border>
    <border>
      <left style="medium">
        <color rgb="FFFFFFFF"/>
      </left>
      <right/>
      <top/>
      <bottom style="medium">
        <color rgb="FFFFFFFF"/>
      </bottom>
      <diagonal/>
    </border>
    <border>
      <left style="medium">
        <color rgb="FFFFFFFF"/>
      </left>
      <right style="medium">
        <color rgb="FFFFFFFF"/>
      </right>
      <top style="medium">
        <color rgb="FFFFFFFF"/>
      </top>
      <bottom style="medium">
        <color rgb="FFFFFFFF"/>
      </bottom>
      <diagonal/>
    </border>
    <border>
      <left/>
      <right style="medium">
        <color rgb="FFFFFFFF"/>
      </right>
      <top/>
      <bottom style="medium">
        <color rgb="FFFFFFFF"/>
      </bottom>
      <diagonal/>
    </border>
    <border>
      <left style="medium">
        <color rgb="FFFFFFFF"/>
      </left>
      <right/>
      <top/>
      <bottom/>
      <diagonal/>
    </border>
    <border>
      <left style="medium">
        <color rgb="FFFFFFFF"/>
      </left>
      <right style="medium">
        <color rgb="FFFFFFFF"/>
      </right>
      <top/>
      <bottom/>
      <diagonal/>
    </border>
    <border>
      <left style="medium">
        <color rgb="FFFFFFFF"/>
      </left>
      <right/>
      <top style="medium">
        <color rgb="FFFFFFFF"/>
      </top>
      <bottom style="medium">
        <color rgb="FFFFFFFF"/>
      </bottom>
      <diagonal/>
    </border>
    <border>
      <left/>
      <right/>
      <top style="medium">
        <color rgb="FFFFFFFF"/>
      </top>
      <bottom/>
      <diagonal/>
    </border>
    <border>
      <left/>
      <right/>
      <top/>
      <bottom style="medium">
        <color rgb="FFFFFFFF"/>
      </bottom>
      <diagonal/>
    </border>
    <border>
      <left/>
      <right style="medium">
        <color rgb="FFFFFFFF"/>
      </right>
      <top style="medium">
        <color rgb="FFFFFFFF"/>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8">
    <xf numFmtId="0" fontId="0" fillId="0" borderId="0"/>
    <xf numFmtId="168" fontId="4" fillId="0" borderId="0" applyFont="0" applyFill="0" applyBorder="0" applyAlignment="0" applyProtection="0"/>
    <xf numFmtId="0" fontId="5" fillId="0" borderId="0"/>
    <xf numFmtId="166" fontId="4" fillId="0" borderId="0" applyFont="0" applyFill="0" applyBorder="0" applyAlignment="0" applyProtection="0"/>
    <xf numFmtId="165" fontId="4" fillId="0" borderId="0" applyFont="0" applyFill="0" applyBorder="0" applyAlignment="0" applyProtection="0"/>
    <xf numFmtId="9" fontId="4" fillId="0" borderId="0" applyFont="0" applyFill="0" applyBorder="0" applyAlignment="0" applyProtection="0"/>
    <xf numFmtId="0" fontId="18" fillId="18" borderId="30" applyNumberFormat="0" applyAlignment="0" applyProtection="0"/>
    <xf numFmtId="165" fontId="4" fillId="0" borderId="0" applyFont="0" applyFill="0" applyBorder="0" applyAlignment="0" applyProtection="0"/>
  </cellStyleXfs>
  <cellXfs count="423">
    <xf numFmtId="0" fontId="0" fillId="0" borderId="0" xfId="0"/>
    <xf numFmtId="0" fontId="0" fillId="0" borderId="4" xfId="0" applyBorder="1"/>
    <xf numFmtId="169" fontId="0" fillId="0" borderId="0" xfId="0" applyNumberFormat="1"/>
    <xf numFmtId="0" fontId="3" fillId="3" borderId="0" xfId="0" applyFont="1" applyFill="1"/>
    <xf numFmtId="0" fontId="0" fillId="2" borderId="7" xfId="0" applyFill="1" applyBorder="1"/>
    <xf numFmtId="0" fontId="2" fillId="4" borderId="7" xfId="0" applyFont="1" applyFill="1" applyBorder="1"/>
    <xf numFmtId="0" fontId="0" fillId="4" borderId="7" xfId="0" applyFill="1" applyBorder="1"/>
    <xf numFmtId="169" fontId="0" fillId="4" borderId="7" xfId="0" applyNumberFormat="1" applyFill="1" applyBorder="1"/>
    <xf numFmtId="169" fontId="0" fillId="4" borderId="1" xfId="0" applyNumberFormat="1" applyFill="1" applyBorder="1"/>
    <xf numFmtId="168" fontId="0" fillId="0" borderId="1" xfId="1" applyFont="1" applyBorder="1"/>
    <xf numFmtId="169" fontId="1" fillId="3" borderId="0" xfId="0" applyNumberFormat="1" applyFont="1" applyFill="1"/>
    <xf numFmtId="169" fontId="0" fillId="2" borderId="3" xfId="0" applyNumberFormat="1" applyFill="1" applyBorder="1"/>
    <xf numFmtId="169" fontId="0" fillId="0" borderId="10" xfId="0" applyNumberFormat="1" applyBorder="1"/>
    <xf numFmtId="169" fontId="0" fillId="0" borderId="6" xfId="0" applyNumberFormat="1" applyBorder="1"/>
    <xf numFmtId="169" fontId="0" fillId="2" borderId="5" xfId="0" applyNumberFormat="1" applyFill="1" applyBorder="1"/>
    <xf numFmtId="169" fontId="0" fillId="0" borderId="4" xfId="0" applyNumberFormat="1" applyBorder="1"/>
    <xf numFmtId="169" fontId="2" fillId="0" borderId="0" xfId="0" applyNumberFormat="1" applyFont="1"/>
    <xf numFmtId="0" fontId="2" fillId="0" borderId="0" xfId="0" applyFont="1"/>
    <xf numFmtId="0" fontId="0" fillId="2" borderId="5" xfId="0" applyFill="1" applyBorder="1"/>
    <xf numFmtId="0" fontId="0" fillId="0" borderId="1" xfId="0" applyBorder="1" applyAlignment="1">
      <alignment wrapText="1"/>
    </xf>
    <xf numFmtId="0" fontId="0" fillId="0" borderId="6" xfId="0" applyBorder="1"/>
    <xf numFmtId="0" fontId="0" fillId="0" borderId="10" xfId="0" applyBorder="1"/>
    <xf numFmtId="0" fontId="0" fillId="0" borderId="8" xfId="0" applyBorder="1"/>
    <xf numFmtId="169" fontId="0" fillId="0" borderId="8" xfId="0" applyNumberFormat="1" applyBorder="1"/>
    <xf numFmtId="0" fontId="2" fillId="2" borderId="7" xfId="0" applyFont="1" applyFill="1" applyBorder="1"/>
    <xf numFmtId="0" fontId="0" fillId="0" borderId="9" xfId="0" applyBorder="1"/>
    <xf numFmtId="0" fontId="0" fillId="0" borderId="9" xfId="0" applyBorder="1" applyAlignment="1">
      <alignment wrapText="1"/>
    </xf>
    <xf numFmtId="169" fontId="0" fillId="2" borderId="7" xfId="0" applyNumberFormat="1" applyFill="1" applyBorder="1"/>
    <xf numFmtId="169" fontId="0" fillId="0" borderId="1" xfId="0" applyNumberFormat="1" applyBorder="1"/>
    <xf numFmtId="0" fontId="0" fillId="0" borderId="1" xfId="0" applyBorder="1"/>
    <xf numFmtId="169" fontId="0" fillId="2" borderId="1" xfId="0" applyNumberFormat="1" applyFill="1" applyBorder="1"/>
    <xf numFmtId="169" fontId="0" fillId="0" borderId="9" xfId="0" applyNumberFormat="1" applyBorder="1"/>
    <xf numFmtId="2" fontId="0" fillId="0" borderId="9" xfId="0" applyNumberFormat="1" applyBorder="1"/>
    <xf numFmtId="3" fontId="0" fillId="0" borderId="0" xfId="0" applyNumberFormat="1"/>
    <xf numFmtId="0" fontId="0" fillId="0" borderId="8" xfId="0" applyBorder="1" applyAlignment="1">
      <alignment wrapText="1"/>
    </xf>
    <xf numFmtId="0" fontId="2" fillId="2" borderId="1" xfId="0" applyFont="1" applyFill="1" applyBorder="1"/>
    <xf numFmtId="0" fontId="0" fillId="2" borderId="1" xfId="0" applyFill="1" applyBorder="1"/>
    <xf numFmtId="167" fontId="0" fillId="0" borderId="1" xfId="0" applyNumberFormat="1" applyBorder="1"/>
    <xf numFmtId="0" fontId="6" fillId="7" borderId="1" xfId="0" applyFont="1" applyFill="1" applyBorder="1" applyAlignment="1">
      <alignment horizontal="center"/>
    </xf>
    <xf numFmtId="0" fontId="8" fillId="0" borderId="1" xfId="0" applyFont="1" applyBorder="1" applyAlignment="1">
      <alignment horizontal="center" vertical="center" wrapText="1"/>
    </xf>
    <xf numFmtId="0" fontId="8" fillId="10" borderId="1" xfId="0" applyFont="1" applyFill="1" applyBorder="1" applyAlignment="1">
      <alignment horizontal="center" vertical="center" wrapText="1"/>
    </xf>
    <xf numFmtId="0" fontId="8" fillId="10" borderId="1" xfId="0" applyFont="1" applyFill="1" applyBorder="1" applyAlignment="1">
      <alignment horizontal="center" wrapText="1"/>
    </xf>
    <xf numFmtId="0" fontId="8" fillId="10" borderId="1" xfId="0" applyFont="1" applyFill="1" applyBorder="1" applyAlignment="1">
      <alignment vertical="center" wrapText="1"/>
    </xf>
    <xf numFmtId="164" fontId="0" fillId="0" borderId="1" xfId="0" applyNumberFormat="1" applyBorder="1"/>
    <xf numFmtId="164" fontId="2" fillId="11" borderId="1" xfId="0" applyNumberFormat="1" applyFont="1" applyFill="1" applyBorder="1"/>
    <xf numFmtId="0" fontId="7" fillId="0" borderId="1" xfId="0" applyFont="1" applyBorder="1" applyAlignment="1">
      <alignment vertical="center" wrapText="1"/>
    </xf>
    <xf numFmtId="0" fontId="0" fillId="0" borderId="0" xfId="0" applyAlignment="1">
      <alignment horizontal="center"/>
    </xf>
    <xf numFmtId="0" fontId="8" fillId="0" borderId="7" xfId="0" applyFont="1" applyBorder="1" applyAlignment="1">
      <alignment vertical="center" wrapText="1"/>
    </xf>
    <xf numFmtId="0" fontId="8" fillId="0" borderId="8" xfId="0" applyFont="1" applyBorder="1" applyAlignment="1">
      <alignment vertical="center" wrapText="1"/>
    </xf>
    <xf numFmtId="164" fontId="0" fillId="0" borderId="8" xfId="0" applyNumberFormat="1" applyBorder="1"/>
    <xf numFmtId="0" fontId="8" fillId="0" borderId="1" xfId="0" applyFont="1" applyBorder="1" applyAlignment="1">
      <alignment vertical="center" wrapText="1"/>
    </xf>
    <xf numFmtId="1" fontId="0" fillId="0" borderId="8" xfId="0" applyNumberFormat="1" applyBorder="1"/>
    <xf numFmtId="169" fontId="0" fillId="2" borderId="7" xfId="0" applyNumberFormat="1" applyFill="1" applyBorder="1" applyAlignment="1">
      <alignment vertical="center"/>
    </xf>
    <xf numFmtId="169" fontId="0" fillId="2" borderId="7" xfId="0" applyNumberFormat="1" applyFill="1" applyBorder="1" applyAlignment="1">
      <alignment horizontal="center" vertical="center" wrapText="1"/>
    </xf>
    <xf numFmtId="0" fontId="2" fillId="2" borderId="7" xfId="0" applyFont="1" applyFill="1" applyBorder="1" applyAlignment="1">
      <alignment vertical="center"/>
    </xf>
    <xf numFmtId="0" fontId="13" fillId="0" borderId="11" xfId="0" applyFont="1" applyBorder="1" applyAlignment="1">
      <alignment vertical="center" wrapText="1"/>
    </xf>
    <xf numFmtId="0" fontId="13" fillId="0" borderId="11" xfId="0" applyFont="1" applyBorder="1" applyAlignment="1">
      <alignment horizontal="center" vertical="center" wrapText="1"/>
    </xf>
    <xf numFmtId="0" fontId="13" fillId="0" borderId="11" xfId="0" applyFont="1" applyBorder="1" applyAlignment="1">
      <alignment horizontal="center" vertical="center"/>
    </xf>
    <xf numFmtId="0" fontId="13" fillId="0" borderId="11" xfId="0" applyFont="1" applyBorder="1" applyAlignment="1">
      <alignment horizontal="center" wrapText="1"/>
    </xf>
    <xf numFmtId="164" fontId="13" fillId="0" borderId="11" xfId="0" applyNumberFormat="1" applyFont="1" applyBorder="1" applyAlignment="1">
      <alignment horizontal="right" vertical="center"/>
    </xf>
    <xf numFmtId="0" fontId="13" fillId="0" borderId="0" xfId="0" applyFont="1" applyAlignment="1">
      <alignment vertical="center" wrapText="1"/>
    </xf>
    <xf numFmtId="0" fontId="13" fillId="0" borderId="0" xfId="0" applyFont="1" applyAlignment="1">
      <alignment horizontal="center" vertical="center" wrapText="1"/>
    </xf>
    <xf numFmtId="0" fontId="13" fillId="0" borderId="0" xfId="0" applyFont="1" applyAlignment="1">
      <alignment horizontal="center" vertical="center"/>
    </xf>
    <xf numFmtId="0" fontId="13" fillId="0" borderId="0" xfId="0" applyFont="1" applyAlignment="1">
      <alignment horizontal="center" wrapText="1"/>
    </xf>
    <xf numFmtId="164" fontId="13" fillId="0" borderId="0" xfId="0" applyNumberFormat="1" applyFont="1" applyAlignment="1">
      <alignment horizontal="right" vertical="center"/>
    </xf>
    <xf numFmtId="0" fontId="7" fillId="12" borderId="1" xfId="0" applyFont="1" applyFill="1" applyBorder="1" applyAlignment="1">
      <alignment vertical="center" wrapText="1"/>
    </xf>
    <xf numFmtId="0" fontId="0" fillId="0" borderId="1" xfId="0" applyBorder="1" applyAlignment="1">
      <alignment horizontal="left" vertical="center" wrapText="1" indent="1"/>
    </xf>
    <xf numFmtId="0" fontId="0" fillId="0" borderId="0" xfId="0" applyAlignment="1">
      <alignment horizontal="left" vertical="center" wrapText="1" indent="1"/>
    </xf>
    <xf numFmtId="0" fontId="12" fillId="10" borderId="1" xfId="0" applyFont="1" applyFill="1" applyBorder="1" applyAlignment="1">
      <alignment horizontal="center" vertical="center" wrapText="1"/>
    </xf>
    <xf numFmtId="0" fontId="12" fillId="10" borderId="1" xfId="0" applyFont="1" applyFill="1" applyBorder="1" applyAlignment="1">
      <alignment horizontal="center" wrapText="1"/>
    </xf>
    <xf numFmtId="0" fontId="12" fillId="10" borderId="1" xfId="0" applyFont="1" applyFill="1" applyBorder="1" applyAlignment="1">
      <alignment vertical="center" wrapText="1"/>
    </xf>
    <xf numFmtId="0" fontId="12" fillId="0" borderId="1" xfId="0" applyFont="1" applyBorder="1" applyAlignment="1">
      <alignment horizontal="center" vertical="center" wrapText="1"/>
    </xf>
    <xf numFmtId="164" fontId="0" fillId="0" borderId="1" xfId="0" applyNumberFormat="1" applyBorder="1" applyAlignment="1">
      <alignment vertical="center"/>
    </xf>
    <xf numFmtId="0" fontId="0" fillId="0" borderId="0" xfId="0" applyAlignment="1">
      <alignment vertical="center"/>
    </xf>
    <xf numFmtId="169" fontId="0" fillId="2" borderId="1" xfId="0" applyNumberFormat="1" applyFill="1" applyBorder="1" applyAlignment="1">
      <alignment horizontal="center" vertical="center" wrapText="1"/>
    </xf>
    <xf numFmtId="0" fontId="11" fillId="5" borderId="18" xfId="0" applyFont="1" applyFill="1" applyBorder="1" applyAlignment="1">
      <alignment vertical="center" wrapText="1"/>
    </xf>
    <xf numFmtId="0" fontId="2" fillId="5" borderId="18" xfId="0" applyFont="1" applyFill="1" applyBorder="1"/>
    <xf numFmtId="0" fontId="2" fillId="5" borderId="18" xfId="0" applyFont="1" applyFill="1" applyBorder="1" applyAlignment="1">
      <alignment wrapText="1"/>
    </xf>
    <xf numFmtId="0" fontId="11" fillId="5" borderId="17" xfId="0" applyFont="1" applyFill="1" applyBorder="1" applyAlignment="1">
      <alignment vertical="center" wrapText="1"/>
    </xf>
    <xf numFmtId="0" fontId="12" fillId="10" borderId="9" xfId="0" applyFont="1" applyFill="1" applyBorder="1" applyAlignment="1">
      <alignment horizontal="center" vertical="center" wrapText="1"/>
    </xf>
    <xf numFmtId="0" fontId="12" fillId="10" borderId="9" xfId="0" applyFont="1" applyFill="1" applyBorder="1" applyAlignment="1">
      <alignment horizontal="center" wrapText="1"/>
    </xf>
    <xf numFmtId="0" fontId="12" fillId="10" borderId="9" xfId="0" applyFont="1" applyFill="1" applyBorder="1" applyAlignment="1">
      <alignment vertical="center" wrapText="1"/>
    </xf>
    <xf numFmtId="164" fontId="0" fillId="0" borderId="9" xfId="0" applyNumberFormat="1" applyBorder="1"/>
    <xf numFmtId="0" fontId="0" fillId="0" borderId="8" xfId="0" applyBorder="1" applyAlignment="1">
      <alignment horizontal="left" vertical="center"/>
    </xf>
    <xf numFmtId="0" fontId="0" fillId="0" borderId="1" xfId="0" applyBorder="1" applyAlignment="1">
      <alignment horizontal="left" vertical="center"/>
    </xf>
    <xf numFmtId="0" fontId="2" fillId="2" borderId="1" xfId="0" applyFont="1" applyFill="1" applyBorder="1" applyAlignment="1">
      <alignment vertical="center"/>
    </xf>
    <xf numFmtId="169" fontId="0" fillId="2" borderId="1" xfId="0" applyNumberFormat="1" applyFill="1" applyBorder="1" applyAlignment="1">
      <alignment vertical="center"/>
    </xf>
    <xf numFmtId="168" fontId="0" fillId="0" borderId="9" xfId="1" applyFont="1" applyBorder="1"/>
    <xf numFmtId="0" fontId="2" fillId="0" borderId="7" xfId="0" applyFont="1" applyBorder="1" applyAlignment="1">
      <alignment horizontal="center" vertical="center"/>
    </xf>
    <xf numFmtId="169" fontId="2" fillId="0" borderId="7" xfId="0" applyNumberFormat="1" applyFont="1" applyBorder="1" applyAlignment="1">
      <alignment horizontal="center" vertical="center"/>
    </xf>
    <xf numFmtId="0" fontId="2" fillId="13" borderId="1" xfId="0" applyFont="1" applyFill="1" applyBorder="1" applyAlignment="1">
      <alignment horizontal="center" vertical="center"/>
    </xf>
    <xf numFmtId="164" fontId="0" fillId="0" borderId="7" xfId="0" applyNumberFormat="1" applyBorder="1" applyAlignment="1">
      <alignment vertical="center"/>
    </xf>
    <xf numFmtId="0" fontId="0" fillId="14" borderId="1" xfId="0" applyFill="1" applyBorder="1" applyAlignment="1">
      <alignment horizontal="center"/>
    </xf>
    <xf numFmtId="0" fontId="2" fillId="15" borderId="18" xfId="0" applyFont="1" applyFill="1" applyBorder="1"/>
    <xf numFmtId="3" fontId="12" fillId="10" borderId="1" xfId="0" applyNumberFormat="1" applyFont="1" applyFill="1" applyBorder="1" applyAlignment="1">
      <alignment vertical="center" wrapText="1"/>
    </xf>
    <xf numFmtId="0" fontId="7" fillId="0" borderId="0" xfId="0" applyFont="1" applyAlignment="1">
      <alignment vertical="center" wrapText="1"/>
    </xf>
    <xf numFmtId="164" fontId="2" fillId="15" borderId="18" xfId="0" applyNumberFormat="1" applyFont="1" applyFill="1" applyBorder="1"/>
    <xf numFmtId="0" fontId="0" fillId="0" borderId="1" xfId="0" applyBorder="1" applyAlignment="1">
      <alignment horizontal="center"/>
    </xf>
    <xf numFmtId="171" fontId="0" fillId="0" borderId="1" xfId="0" applyNumberFormat="1" applyBorder="1" applyAlignment="1">
      <alignment horizontal="center"/>
    </xf>
    <xf numFmtId="1" fontId="0" fillId="0" borderId="1" xfId="0" applyNumberFormat="1" applyBorder="1" applyAlignment="1">
      <alignment horizontal="center"/>
    </xf>
    <xf numFmtId="164" fontId="0" fillId="0" borderId="0" xfId="0" applyNumberFormat="1"/>
    <xf numFmtId="0" fontId="14" fillId="14" borderId="16" xfId="0" applyFont="1" applyFill="1" applyBorder="1" applyAlignment="1">
      <alignment horizontal="center" vertical="center"/>
    </xf>
    <xf numFmtId="0" fontId="14" fillId="14" borderId="14" xfId="0" applyFont="1" applyFill="1" applyBorder="1" applyAlignment="1">
      <alignment horizontal="center" vertical="center" wrapText="1"/>
    </xf>
    <xf numFmtId="0" fontId="14" fillId="14" borderId="14" xfId="0" applyFont="1" applyFill="1" applyBorder="1" applyAlignment="1">
      <alignment horizontal="center" vertical="center"/>
    </xf>
    <xf numFmtId="0" fontId="0" fillId="17" borderId="1" xfId="0" applyFill="1" applyBorder="1" applyAlignment="1">
      <alignment horizontal="center" vertical="center" wrapText="1"/>
    </xf>
    <xf numFmtId="0" fontId="16" fillId="17" borderId="1" xfId="0" applyFont="1" applyFill="1" applyBorder="1" applyAlignment="1">
      <alignment horizontal="center" vertical="center"/>
    </xf>
    <xf numFmtId="0" fontId="2" fillId="17" borderId="1" xfId="0" applyFont="1" applyFill="1" applyBorder="1" applyAlignment="1">
      <alignment horizontal="center"/>
    </xf>
    <xf numFmtId="0" fontId="16" fillId="17" borderId="1" xfId="0" applyFont="1" applyFill="1" applyBorder="1" applyAlignment="1">
      <alignment horizontal="center" vertical="center" wrapText="1"/>
    </xf>
    <xf numFmtId="0" fontId="12" fillId="17" borderId="1" xfId="0" applyFont="1" applyFill="1" applyBorder="1" applyAlignment="1">
      <alignment horizontal="center" vertical="center"/>
    </xf>
    <xf numFmtId="0" fontId="0" fillId="17" borderId="1" xfId="0" applyFill="1" applyBorder="1" applyAlignment="1">
      <alignment horizontal="center"/>
    </xf>
    <xf numFmtId="0" fontId="0" fillId="17" borderId="2" xfId="0" applyFill="1" applyBorder="1" applyAlignment="1">
      <alignment horizontal="center" vertical="center"/>
    </xf>
    <xf numFmtId="0" fontId="0" fillId="17" borderId="1" xfId="0" applyFill="1" applyBorder="1"/>
    <xf numFmtId="0" fontId="16" fillId="17" borderId="2" xfId="0" applyFont="1" applyFill="1" applyBorder="1" applyAlignment="1">
      <alignment horizontal="center" vertical="center"/>
    </xf>
    <xf numFmtId="0" fontId="16" fillId="17" borderId="2" xfId="0" applyFont="1" applyFill="1" applyBorder="1" applyAlignment="1">
      <alignment horizontal="center" vertical="center" wrapText="1"/>
    </xf>
    <xf numFmtId="0" fontId="0" fillId="17" borderId="3" xfId="0" applyFill="1" applyBorder="1" applyAlignment="1">
      <alignment horizontal="center" vertical="center"/>
    </xf>
    <xf numFmtId="171" fontId="0" fillId="0" borderId="1" xfId="0" applyNumberFormat="1" applyBorder="1"/>
    <xf numFmtId="1" fontId="0" fillId="0" borderId="1" xfId="0" applyNumberFormat="1" applyBorder="1"/>
    <xf numFmtId="0" fontId="2" fillId="17" borderId="1" xfId="0" applyFont="1" applyFill="1" applyBorder="1"/>
    <xf numFmtId="0" fontId="2" fillId="15" borderId="1" xfId="0" applyFont="1" applyFill="1" applyBorder="1"/>
    <xf numFmtId="164" fontId="2" fillId="15" borderId="1" xfId="0" applyNumberFormat="1" applyFont="1" applyFill="1" applyBorder="1"/>
    <xf numFmtId="0" fontId="2" fillId="15" borderId="19" xfId="0" applyFont="1" applyFill="1" applyBorder="1"/>
    <xf numFmtId="164" fontId="2" fillId="15" borderId="19" xfId="0" applyNumberFormat="1" applyFont="1" applyFill="1" applyBorder="1"/>
    <xf numFmtId="0" fontId="2" fillId="15" borderId="23" xfId="0" applyFont="1" applyFill="1" applyBorder="1"/>
    <xf numFmtId="0" fontId="2" fillId="15" borderId="22" xfId="0" applyFont="1" applyFill="1" applyBorder="1"/>
    <xf numFmtId="164" fontId="2" fillId="15" borderId="22" xfId="0" applyNumberFormat="1" applyFont="1" applyFill="1" applyBorder="1"/>
    <xf numFmtId="0" fontId="12" fillId="0" borderId="3" xfId="0" applyFont="1" applyBorder="1" applyAlignment="1">
      <alignment horizontal="center" vertical="center" wrapText="1"/>
    </xf>
    <xf numFmtId="0" fontId="17" fillId="16" borderId="0" xfId="0" applyFont="1" applyFill="1" applyAlignment="1">
      <alignment horizontal="center" vertical="center"/>
    </xf>
    <xf numFmtId="0" fontId="17" fillId="16" borderId="7" xfId="0" applyFont="1" applyFill="1" applyBorder="1" applyAlignment="1">
      <alignment horizontal="center" vertical="center"/>
    </xf>
    <xf numFmtId="0" fontId="17" fillId="16" borderId="7" xfId="0" applyFont="1" applyFill="1" applyBorder="1" applyAlignment="1">
      <alignment horizontal="center" vertical="center" wrapText="1"/>
    </xf>
    <xf numFmtId="0" fontId="17" fillId="16" borderId="1" xfId="0" applyFont="1" applyFill="1" applyBorder="1"/>
    <xf numFmtId="1" fontId="0" fillId="0" borderId="0" xfId="0" applyNumberFormat="1" applyAlignment="1">
      <alignment horizontal="center"/>
    </xf>
    <xf numFmtId="0" fontId="0" fillId="17" borderId="9" xfId="0" applyFill="1" applyBorder="1" applyAlignment="1">
      <alignment horizontal="center" vertical="center" wrapText="1"/>
    </xf>
    <xf numFmtId="0" fontId="0" fillId="16" borderId="1" xfId="0" applyFill="1" applyBorder="1"/>
    <xf numFmtId="0" fontId="2" fillId="16" borderId="1" xfId="0" applyFont="1" applyFill="1" applyBorder="1"/>
    <xf numFmtId="0" fontId="0" fillId="15" borderId="1" xfId="0" applyFill="1" applyBorder="1" applyAlignment="1">
      <alignment horizontal="center"/>
    </xf>
    <xf numFmtId="0" fontId="15" fillId="14" borderId="1" xfId="0" applyFont="1" applyFill="1" applyBorder="1" applyAlignment="1">
      <alignment horizontal="center" vertical="center" wrapText="1"/>
    </xf>
    <xf numFmtId="0" fontId="12" fillId="6" borderId="1" xfId="0" applyFont="1" applyFill="1" applyBorder="1" applyAlignment="1">
      <alignment vertical="center" wrapText="1"/>
    </xf>
    <xf numFmtId="0" fontId="11" fillId="5" borderId="1" xfId="0" applyFont="1" applyFill="1" applyBorder="1" applyAlignment="1">
      <alignment horizontal="center" vertical="center" wrapText="1"/>
    </xf>
    <xf numFmtId="2" fontId="11" fillId="5" borderId="1" xfId="0" applyNumberFormat="1" applyFont="1" applyFill="1" applyBorder="1" applyAlignment="1">
      <alignment horizontal="center" vertical="center" wrapText="1"/>
    </xf>
    <xf numFmtId="1" fontId="11" fillId="5" borderId="1" xfId="0" applyNumberFormat="1" applyFont="1" applyFill="1" applyBorder="1" applyAlignment="1">
      <alignment horizontal="center" vertical="center" wrapText="1"/>
    </xf>
    <xf numFmtId="0" fontId="0" fillId="14" borderId="1" xfId="0" applyFill="1" applyBorder="1"/>
    <xf numFmtId="9" fontId="12" fillId="6" borderId="1" xfId="0" applyNumberFormat="1" applyFont="1" applyFill="1" applyBorder="1" applyAlignment="1">
      <alignment vertical="center" wrapText="1"/>
    </xf>
    <xf numFmtId="0" fontId="15" fillId="14" borderId="13" xfId="0" applyFont="1" applyFill="1" applyBorder="1" applyAlignment="1">
      <alignment horizontal="center" vertical="center" wrapText="1"/>
    </xf>
    <xf numFmtId="164" fontId="0" fillId="5" borderId="26" xfId="0" applyNumberFormat="1" applyFill="1" applyBorder="1" applyAlignment="1">
      <alignment horizontal="center"/>
    </xf>
    <xf numFmtId="164" fontId="2" fillId="15" borderId="26" xfId="0" applyNumberFormat="1" applyFont="1" applyFill="1" applyBorder="1"/>
    <xf numFmtId="0" fontId="0" fillId="14" borderId="26" xfId="0" applyFill="1" applyBorder="1"/>
    <xf numFmtId="0" fontId="0" fillId="15" borderId="26" xfId="0" applyFill="1" applyBorder="1" applyAlignment="1">
      <alignment horizontal="center"/>
    </xf>
    <xf numFmtId="0" fontId="2" fillId="15" borderId="14" xfId="0" applyFont="1" applyFill="1" applyBorder="1"/>
    <xf numFmtId="164" fontId="2" fillId="15" borderId="14" xfId="0" applyNumberFormat="1" applyFont="1" applyFill="1" applyBorder="1"/>
    <xf numFmtId="0" fontId="0" fillId="15" borderId="14" xfId="0" applyFill="1" applyBorder="1" applyAlignment="1">
      <alignment horizontal="center"/>
    </xf>
    <xf numFmtId="0" fontId="0" fillId="15" borderId="27" xfId="0" applyFill="1" applyBorder="1" applyAlignment="1">
      <alignment horizontal="center"/>
    </xf>
    <xf numFmtId="0" fontId="12" fillId="10" borderId="7" xfId="0" applyFont="1" applyFill="1" applyBorder="1" applyAlignment="1">
      <alignment horizontal="center" vertical="center" wrapText="1"/>
    </xf>
    <xf numFmtId="0" fontId="12" fillId="10" borderId="7" xfId="0" applyFont="1" applyFill="1" applyBorder="1" applyAlignment="1">
      <alignment vertical="center" wrapText="1"/>
    </xf>
    <xf numFmtId="9" fontId="12" fillId="6" borderId="7" xfId="0" applyNumberFormat="1" applyFont="1" applyFill="1" applyBorder="1" applyAlignment="1">
      <alignment vertical="center" wrapText="1"/>
    </xf>
    <xf numFmtId="0" fontId="11" fillId="5" borderId="7" xfId="0" applyFont="1" applyFill="1" applyBorder="1" applyAlignment="1">
      <alignment horizontal="center" vertical="center" wrapText="1"/>
    </xf>
    <xf numFmtId="164" fontId="0" fillId="5" borderId="28" xfId="0" applyNumberFormat="1" applyFill="1" applyBorder="1" applyAlignment="1">
      <alignment horizontal="center"/>
    </xf>
    <xf numFmtId="0" fontId="0" fillId="14" borderId="13" xfId="0" applyFill="1" applyBorder="1" applyAlignment="1">
      <alignment horizontal="center"/>
    </xf>
    <xf numFmtId="0" fontId="0" fillId="14" borderId="13" xfId="0" applyFill="1" applyBorder="1"/>
    <xf numFmtId="0" fontId="12" fillId="6" borderId="9" xfId="0" applyFont="1" applyFill="1" applyBorder="1" applyAlignment="1">
      <alignment vertical="center" wrapText="1"/>
    </xf>
    <xf numFmtId="0" fontId="11" fillId="5" borderId="9" xfId="0" applyFont="1" applyFill="1" applyBorder="1" applyAlignment="1">
      <alignment horizontal="center" vertical="center" wrapText="1"/>
    </xf>
    <xf numFmtId="164" fontId="0" fillId="5" borderId="29" xfId="0" applyNumberFormat="1" applyFill="1" applyBorder="1" applyAlignment="1">
      <alignment horizontal="center"/>
    </xf>
    <xf numFmtId="0" fontId="15" fillId="14" borderId="14" xfId="0" applyFont="1" applyFill="1" applyBorder="1" applyAlignment="1">
      <alignment horizontal="center" vertical="center" wrapText="1"/>
    </xf>
    <xf numFmtId="0" fontId="14" fillId="14" borderId="27" xfId="0" applyFont="1" applyFill="1" applyBorder="1" applyAlignment="1">
      <alignment horizontal="center" vertical="center" wrapText="1"/>
    </xf>
    <xf numFmtId="0" fontId="12" fillId="0" borderId="7" xfId="0" applyFont="1" applyBorder="1" applyAlignment="1">
      <alignment horizontal="center" vertical="center" wrapText="1"/>
    </xf>
    <xf numFmtId="0" fontId="12" fillId="6" borderId="7" xfId="0" applyFont="1" applyFill="1" applyBorder="1" applyAlignment="1">
      <alignment vertical="center" wrapText="1"/>
    </xf>
    <xf numFmtId="164" fontId="0" fillId="0" borderId="7" xfId="0" applyNumberFormat="1" applyBorder="1"/>
    <xf numFmtId="0" fontId="12" fillId="0" borderId="9" xfId="0" applyFont="1" applyBorder="1" applyAlignment="1">
      <alignment horizontal="center" vertical="center" wrapText="1"/>
    </xf>
    <xf numFmtId="0" fontId="0" fillId="14" borderId="14" xfId="0" applyFill="1" applyBorder="1"/>
    <xf numFmtId="0" fontId="0" fillId="14" borderId="27" xfId="0" applyFill="1" applyBorder="1"/>
    <xf numFmtId="0" fontId="14" fillId="14" borderId="12" xfId="0" applyFont="1" applyFill="1" applyBorder="1" applyAlignment="1">
      <alignment horizontal="center" vertical="center"/>
    </xf>
    <xf numFmtId="0" fontId="14" fillId="14" borderId="3" xfId="0" applyFont="1" applyFill="1" applyBorder="1" applyAlignment="1">
      <alignment horizontal="center" vertical="center"/>
    </xf>
    <xf numFmtId="0" fontId="14" fillId="14" borderId="15" xfId="0" applyFont="1" applyFill="1" applyBorder="1" applyAlignment="1">
      <alignment horizontal="center" vertical="center"/>
    </xf>
    <xf numFmtId="0" fontId="12" fillId="0" borderId="6" xfId="0" applyFont="1" applyBorder="1" applyAlignment="1">
      <alignment horizontal="center" vertical="center" wrapText="1"/>
    </xf>
    <xf numFmtId="0" fontId="12" fillId="0" borderId="5" xfId="0" applyFont="1" applyBorder="1" applyAlignment="1">
      <alignment horizontal="center" vertical="center" wrapText="1"/>
    </xf>
    <xf numFmtId="0" fontId="0" fillId="14" borderId="12" xfId="0" applyFill="1" applyBorder="1" applyAlignment="1">
      <alignment horizontal="center"/>
    </xf>
    <xf numFmtId="0" fontId="2" fillId="15" borderId="3" xfId="0" applyFont="1" applyFill="1" applyBorder="1"/>
    <xf numFmtId="0" fontId="0" fillId="14" borderId="15" xfId="0" applyFill="1" applyBorder="1"/>
    <xf numFmtId="0" fontId="0" fillId="14" borderId="3" xfId="0" applyFill="1" applyBorder="1" applyAlignment="1">
      <alignment horizontal="center"/>
    </xf>
    <xf numFmtId="0" fontId="0" fillId="14" borderId="3" xfId="0" applyFill="1" applyBorder="1"/>
    <xf numFmtId="0" fontId="2" fillId="15" borderId="15" xfId="0" applyFont="1" applyFill="1" applyBorder="1"/>
    <xf numFmtId="0" fontId="14" fillId="14" borderId="19" xfId="0" applyFont="1" applyFill="1" applyBorder="1" applyAlignment="1">
      <alignment horizontal="center" vertical="center"/>
    </xf>
    <xf numFmtId="0" fontId="11" fillId="5" borderId="21" xfId="0" applyFont="1" applyFill="1" applyBorder="1" applyAlignment="1">
      <alignment vertical="center" wrapText="1"/>
    </xf>
    <xf numFmtId="0" fontId="0" fillId="14" borderId="20" xfId="0" applyFill="1" applyBorder="1"/>
    <xf numFmtId="0" fontId="2" fillId="5" borderId="18" xfId="0" applyFont="1" applyFill="1" applyBorder="1" applyAlignment="1">
      <alignment vertical="center" wrapText="1"/>
    </xf>
    <xf numFmtId="0" fontId="0" fillId="14" borderId="18" xfId="0" applyFill="1" applyBorder="1"/>
    <xf numFmtId="0" fontId="2" fillId="5" borderId="21" xfId="0" applyFont="1" applyFill="1" applyBorder="1" applyAlignment="1">
      <alignment wrapText="1"/>
    </xf>
    <xf numFmtId="0" fontId="17" fillId="5" borderId="18" xfId="0" applyFont="1" applyFill="1" applyBorder="1" applyAlignment="1">
      <alignment vertical="center" wrapText="1"/>
    </xf>
    <xf numFmtId="0" fontId="16" fillId="0" borderId="3" xfId="0" applyFont="1" applyBorder="1" applyAlignment="1">
      <alignment horizontal="center" vertical="center" wrapText="1"/>
    </xf>
    <xf numFmtId="0" fontId="16" fillId="10"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16" fillId="10" borderId="1" xfId="0" applyFont="1" applyFill="1" applyBorder="1" applyAlignment="1">
      <alignment vertical="center" wrapText="1"/>
    </xf>
    <xf numFmtId="9" fontId="16" fillId="6" borderId="1" xfId="0" applyNumberFormat="1" applyFont="1" applyFill="1" applyBorder="1" applyAlignment="1">
      <alignment vertical="center" wrapText="1"/>
    </xf>
    <xf numFmtId="1" fontId="17" fillId="5" borderId="1" xfId="0" applyNumberFormat="1" applyFont="1" applyFill="1" applyBorder="1" applyAlignment="1">
      <alignment horizontal="center" vertical="center" wrapText="1"/>
    </xf>
    <xf numFmtId="164" fontId="16" fillId="0" borderId="1" xfId="0" applyNumberFormat="1" applyFont="1" applyBorder="1" applyAlignment="1">
      <alignment vertical="center"/>
    </xf>
    <xf numFmtId="0" fontId="0" fillId="0" borderId="0" xfId="0" applyAlignment="1">
      <alignment horizontal="center" vertical="center"/>
    </xf>
    <xf numFmtId="0" fontId="21" fillId="0" borderId="0" xfId="0" applyFont="1" applyAlignment="1">
      <alignment horizontal="center" vertical="center"/>
    </xf>
    <xf numFmtId="165" fontId="22" fillId="19" borderId="1" xfId="4" applyFont="1" applyFill="1" applyBorder="1" applyAlignment="1">
      <alignment horizontal="center" vertical="center" wrapText="1"/>
    </xf>
    <xf numFmtId="165" fontId="22" fillId="19" borderId="1" xfId="4" applyFont="1" applyFill="1" applyBorder="1" applyAlignment="1">
      <alignment horizontal="center" vertical="center"/>
    </xf>
    <xf numFmtId="172" fontId="23" fillId="19" borderId="1" xfId="3" applyNumberFormat="1" applyFont="1" applyFill="1" applyBorder="1" applyAlignment="1">
      <alignment horizontal="center" vertical="center" wrapText="1"/>
    </xf>
    <xf numFmtId="172" fontId="24" fillId="19" borderId="1" xfId="3" applyNumberFormat="1" applyFont="1" applyFill="1" applyBorder="1" applyAlignment="1">
      <alignment horizontal="center" vertical="center" wrapText="1"/>
    </xf>
    <xf numFmtId="165" fontId="25" fillId="19" borderId="1" xfId="4" applyFont="1" applyFill="1" applyBorder="1" applyAlignment="1">
      <alignment vertical="center"/>
    </xf>
    <xf numFmtId="49" fontId="27" fillId="0" borderId="1" xfId="4" applyNumberFormat="1" applyFont="1" applyFill="1" applyBorder="1" applyAlignment="1">
      <alignment horizontal="left" vertical="center" wrapText="1"/>
    </xf>
    <xf numFmtId="165" fontId="28" fillId="0" borderId="1" xfId="4" applyFont="1" applyBorder="1" applyAlignment="1">
      <alignment horizontal="center" vertical="center"/>
    </xf>
    <xf numFmtId="165" fontId="28" fillId="0" borderId="1" xfId="4" applyFont="1" applyFill="1" applyBorder="1" applyAlignment="1">
      <alignment horizontal="center" vertical="center"/>
    </xf>
    <xf numFmtId="165" fontId="28" fillId="0" borderId="2" xfId="4" applyFont="1" applyFill="1" applyBorder="1" applyAlignment="1">
      <alignment vertical="center"/>
    </xf>
    <xf numFmtId="173" fontId="28" fillId="0" borderId="1" xfId="5" applyNumberFormat="1" applyFont="1" applyFill="1" applyBorder="1" applyAlignment="1">
      <alignment horizontal="center" vertical="center" wrapText="1"/>
    </xf>
    <xf numFmtId="9" fontId="27" fillId="0" borderId="1" xfId="5" applyFont="1" applyBorder="1" applyAlignment="1">
      <alignment horizontal="center" vertical="center"/>
    </xf>
    <xf numFmtId="165" fontId="0" fillId="0" borderId="1" xfId="4" applyFont="1" applyBorder="1" applyAlignment="1">
      <alignment vertical="center"/>
    </xf>
    <xf numFmtId="9" fontId="27" fillId="0" borderId="1" xfId="5" applyFont="1" applyFill="1" applyBorder="1" applyAlignment="1">
      <alignment horizontal="center" vertical="center"/>
    </xf>
    <xf numFmtId="174" fontId="29" fillId="0" borderId="1" xfId="5" applyNumberFormat="1" applyFont="1" applyBorder="1" applyAlignment="1">
      <alignment horizontal="center" vertical="center"/>
    </xf>
    <xf numFmtId="0" fontId="27" fillId="0" borderId="1" xfId="4" applyNumberFormat="1" applyFont="1" applyFill="1" applyBorder="1" applyAlignment="1">
      <alignment horizontal="left" vertical="center" wrapText="1"/>
    </xf>
    <xf numFmtId="0" fontId="0" fillId="0" borderId="1" xfId="0" applyBorder="1" applyAlignment="1">
      <alignment vertical="center"/>
    </xf>
    <xf numFmtId="165" fontId="2" fillId="0" borderId="0" xfId="4" applyFont="1" applyFill="1" applyBorder="1" applyAlignment="1">
      <alignment horizontal="center" vertical="center"/>
    </xf>
    <xf numFmtId="0" fontId="0" fillId="0" borderId="0" xfId="0" applyAlignment="1">
      <alignment vertical="center" wrapText="1"/>
    </xf>
    <xf numFmtId="165" fontId="2" fillId="0" borderId="0" xfId="4" applyFont="1" applyFill="1" applyBorder="1" applyAlignment="1">
      <alignment horizontal="center" vertical="center" wrapText="1"/>
    </xf>
    <xf numFmtId="165" fontId="0" fillId="0" borderId="0" xfId="0" applyNumberFormat="1" applyAlignment="1">
      <alignment horizontal="center" vertical="center" wrapText="1"/>
    </xf>
    <xf numFmtId="49" fontId="27" fillId="0" borderId="0" xfId="4" applyNumberFormat="1" applyFont="1" applyFill="1" applyBorder="1" applyAlignment="1">
      <alignment horizontal="left" vertical="center" wrapText="1"/>
    </xf>
    <xf numFmtId="165" fontId="28" fillId="0" borderId="0" xfId="4" applyFont="1" applyBorder="1" applyAlignment="1">
      <alignment horizontal="center" vertical="center"/>
    </xf>
    <xf numFmtId="165" fontId="28" fillId="0" borderId="0" xfId="4" applyFont="1" applyFill="1" applyBorder="1" applyAlignment="1">
      <alignment vertical="center"/>
    </xf>
    <xf numFmtId="9" fontId="27" fillId="0" borderId="0" xfId="5" applyFont="1" applyAlignment="1">
      <alignment horizontal="center" vertical="center"/>
    </xf>
    <xf numFmtId="9" fontId="30" fillId="0" borderId="0" xfId="4" applyNumberFormat="1" applyFont="1" applyBorder="1" applyAlignment="1">
      <alignment vertical="center"/>
    </xf>
    <xf numFmtId="0" fontId="16" fillId="0" borderId="0" xfId="0" applyFont="1" applyAlignment="1">
      <alignment vertical="center"/>
    </xf>
    <xf numFmtId="0" fontId="31" fillId="0" borderId="0" xfId="0" applyFont="1" applyAlignment="1">
      <alignment horizontal="center" vertical="center"/>
    </xf>
    <xf numFmtId="165" fontId="32" fillId="0" borderId="0" xfId="4" applyFont="1" applyBorder="1" applyAlignment="1">
      <alignment horizontal="center" vertical="center"/>
    </xf>
    <xf numFmtId="0" fontId="28" fillId="0" borderId="0" xfId="0" applyFont="1" applyAlignment="1">
      <alignment vertical="center" wrapText="1"/>
    </xf>
    <xf numFmtId="165" fontId="32" fillId="0" borderId="0" xfId="4" applyFont="1" applyBorder="1" applyAlignment="1">
      <alignment horizontal="center" vertical="center" wrapText="1"/>
    </xf>
    <xf numFmtId="0" fontId="28" fillId="0" borderId="0" xfId="0" applyFont="1" applyAlignment="1">
      <alignment horizontal="center" vertical="center" wrapText="1"/>
    </xf>
    <xf numFmtId="0" fontId="28" fillId="0" borderId="0" xfId="0" applyFont="1" applyAlignment="1">
      <alignment horizontal="center" vertical="center"/>
    </xf>
    <xf numFmtId="165" fontId="33" fillId="20" borderId="0" xfId="4" applyFont="1" applyFill="1" applyBorder="1" applyAlignment="1">
      <alignment horizontal="center" vertical="center"/>
    </xf>
    <xf numFmtId="9" fontId="28" fillId="0" borderId="1" xfId="5" applyFont="1" applyFill="1" applyBorder="1" applyAlignment="1">
      <alignment horizontal="center" vertical="center" wrapText="1"/>
    </xf>
    <xf numFmtId="165" fontId="2" fillId="0" borderId="1" xfId="4" applyFont="1" applyBorder="1" applyAlignment="1">
      <alignment vertical="center"/>
    </xf>
    <xf numFmtId="174" fontId="16" fillId="0" borderId="1" xfId="0" applyNumberFormat="1" applyFont="1" applyBorder="1" applyAlignment="1">
      <alignment vertical="center"/>
    </xf>
    <xf numFmtId="165" fontId="19" fillId="0" borderId="1" xfId="4" applyFont="1" applyFill="1" applyBorder="1" applyAlignment="1">
      <alignment vertical="center"/>
    </xf>
    <xf numFmtId="165" fontId="2" fillId="0" borderId="1" xfId="4" applyFont="1" applyFill="1" applyBorder="1" applyAlignment="1">
      <alignment vertical="center"/>
    </xf>
    <xf numFmtId="165" fontId="28" fillId="0" borderId="0" xfId="4" applyFont="1" applyFill="1" applyBorder="1" applyAlignment="1">
      <alignment horizontal="center" vertical="center"/>
    </xf>
    <xf numFmtId="165" fontId="0" fillId="0" borderId="0" xfId="4" applyFont="1" applyAlignment="1">
      <alignment vertical="center"/>
    </xf>
    <xf numFmtId="165" fontId="31" fillId="0" borderId="0" xfId="0" applyNumberFormat="1" applyFont="1" applyAlignment="1">
      <alignment horizontal="center" vertical="center"/>
    </xf>
    <xf numFmtId="14" fontId="31" fillId="0" borderId="0" xfId="0" applyNumberFormat="1" applyFont="1" applyAlignment="1">
      <alignment vertical="center"/>
    </xf>
    <xf numFmtId="0" fontId="33" fillId="0" borderId="0" xfId="0" applyFont="1" applyAlignment="1">
      <alignment vertical="center"/>
    </xf>
    <xf numFmtId="0" fontId="33" fillId="0" borderId="0" xfId="0" applyFont="1" applyAlignment="1">
      <alignment vertical="center" wrapText="1"/>
    </xf>
    <xf numFmtId="0" fontId="0" fillId="0" borderId="0" xfId="0" applyAlignment="1">
      <alignment horizontal="center" vertical="center" wrapText="1"/>
    </xf>
    <xf numFmtId="0" fontId="31" fillId="0" borderId="0" xfId="0" applyFont="1" applyAlignment="1">
      <alignment vertical="center" wrapText="1"/>
    </xf>
    <xf numFmtId="172" fontId="33" fillId="0" borderId="0" xfId="3" applyNumberFormat="1" applyFont="1" applyAlignment="1">
      <alignment horizontal="center" vertical="center"/>
    </xf>
    <xf numFmtId="172" fontId="34" fillId="0" borderId="0" xfId="3" applyNumberFormat="1" applyFont="1" applyAlignment="1">
      <alignment horizontal="center" vertical="center"/>
    </xf>
    <xf numFmtId="0" fontId="28" fillId="0" borderId="0" xfId="0" applyFont="1" applyAlignment="1">
      <alignment vertical="center"/>
    </xf>
    <xf numFmtId="14" fontId="28" fillId="0" borderId="0" xfId="0" applyNumberFormat="1" applyFont="1" applyAlignment="1">
      <alignment vertical="center"/>
    </xf>
    <xf numFmtId="0" fontId="35" fillId="18" borderId="30" xfId="6" applyFont="1" applyAlignment="1">
      <alignment horizontal="center" vertical="center" wrapText="1"/>
    </xf>
    <xf numFmtId="0" fontId="35" fillId="18" borderId="31" xfId="6" applyFont="1" applyBorder="1" applyAlignment="1">
      <alignment horizontal="center" vertical="center" wrapText="1"/>
    </xf>
    <xf numFmtId="0" fontId="35" fillId="18" borderId="0" xfId="6" applyFont="1" applyBorder="1" applyAlignment="1">
      <alignment horizontal="center" vertical="center" wrapText="1"/>
    </xf>
    <xf numFmtId="14" fontId="36" fillId="21" borderId="32" xfId="0" applyNumberFormat="1" applyFont="1" applyFill="1" applyBorder="1" applyAlignment="1">
      <alignment horizontal="center" vertical="center" wrapText="1"/>
    </xf>
    <xf numFmtId="0" fontId="36" fillId="21" borderId="33" xfId="0" applyFont="1" applyFill="1" applyBorder="1" applyAlignment="1">
      <alignment horizontal="center" vertical="center" wrapText="1"/>
    </xf>
    <xf numFmtId="165" fontId="36" fillId="21" borderId="33" xfId="4" applyFont="1" applyFill="1" applyBorder="1" applyAlignment="1">
      <alignment horizontal="center" vertical="center" wrapText="1"/>
    </xf>
    <xf numFmtId="0" fontId="37" fillId="22" borderId="0" xfId="0" applyFont="1" applyFill="1" applyAlignment="1">
      <alignment horizontal="center" vertical="center"/>
    </xf>
    <xf numFmtId="14" fontId="28" fillId="0" borderId="0" xfId="0" applyNumberFormat="1" applyFont="1" applyAlignment="1">
      <alignment horizontal="center" vertical="center"/>
    </xf>
    <xf numFmtId="0" fontId="34" fillId="0" borderId="0" xfId="0" applyFont="1" applyAlignment="1">
      <alignment horizontal="center" vertical="center"/>
    </xf>
    <xf numFmtId="0" fontId="34" fillId="0" borderId="0" xfId="0" applyFont="1" applyAlignment="1">
      <alignment horizontal="left" vertical="center" wrapText="1"/>
    </xf>
    <xf numFmtId="0" fontId="34" fillId="0" borderId="0" xfId="0" applyFont="1" applyAlignment="1">
      <alignment horizontal="center" vertical="center" wrapText="1"/>
    </xf>
    <xf numFmtId="14" fontId="34" fillId="0" borderId="0" xfId="0" applyNumberFormat="1" applyFont="1" applyAlignment="1">
      <alignment horizontal="center" vertical="center" wrapText="1"/>
    </xf>
    <xf numFmtId="14" fontId="34" fillId="0" borderId="0" xfId="0" applyNumberFormat="1" applyFont="1" applyAlignment="1">
      <alignment horizontal="center" vertical="center"/>
    </xf>
    <xf numFmtId="165" fontId="37" fillId="0" borderId="0" xfId="0" applyNumberFormat="1" applyFont="1" applyAlignment="1">
      <alignment horizontal="center" vertical="center"/>
    </xf>
    <xf numFmtId="1" fontId="34" fillId="0" borderId="0" xfId="0" applyNumberFormat="1" applyFont="1" applyAlignment="1">
      <alignment horizontal="center" vertical="center"/>
    </xf>
    <xf numFmtId="165" fontId="38" fillId="0" borderId="0" xfId="4" applyFont="1" applyFill="1" applyBorder="1" applyAlignment="1">
      <alignment horizontal="center" vertical="center"/>
    </xf>
    <xf numFmtId="165" fontId="39" fillId="0" borderId="0" xfId="4" applyFont="1" applyFill="1" applyBorder="1" applyAlignment="1">
      <alignment horizontal="center" vertical="center"/>
    </xf>
    <xf numFmtId="49" fontId="39" fillId="0" borderId="0" xfId="0" applyNumberFormat="1" applyFont="1" applyAlignment="1">
      <alignment horizontal="center" vertical="center" wrapText="1"/>
    </xf>
    <xf numFmtId="49" fontId="39" fillId="0" borderId="0" xfId="0" applyNumberFormat="1" applyFont="1" applyAlignment="1">
      <alignment vertical="center" wrapText="1"/>
    </xf>
    <xf numFmtId="0" fontId="39" fillId="0" borderId="0" xfId="0" quotePrefix="1" applyFont="1" applyAlignment="1">
      <alignment vertical="center" wrapText="1"/>
    </xf>
    <xf numFmtId="0" fontId="39" fillId="0" borderId="0" xfId="0" quotePrefix="1" applyFont="1" applyAlignment="1">
      <alignment vertical="center"/>
    </xf>
    <xf numFmtId="14" fontId="34" fillId="0" borderId="34" xfId="0" applyNumberFormat="1" applyFont="1" applyBorder="1" applyAlignment="1">
      <alignment horizontal="center" vertical="center" wrapText="1"/>
    </xf>
    <xf numFmtId="0" fontId="40" fillId="0" borderId="0" xfId="0" applyFont="1" applyAlignment="1">
      <alignment horizontal="center" vertical="center"/>
    </xf>
    <xf numFmtId="0" fontId="39" fillId="0" borderId="0" xfId="0" applyFont="1" applyAlignment="1">
      <alignment vertical="center"/>
    </xf>
    <xf numFmtId="0" fontId="29" fillId="0" borderId="0" xfId="0" applyFont="1" applyAlignment="1">
      <alignment horizontal="left" vertical="center" wrapText="1"/>
    </xf>
    <xf numFmtId="165" fontId="37" fillId="0" borderId="0" xfId="4" applyFont="1" applyAlignment="1">
      <alignment horizontal="center" vertical="center"/>
    </xf>
    <xf numFmtId="0" fontId="41" fillId="23" borderId="2" xfId="0" applyFont="1" applyFill="1" applyBorder="1" applyAlignment="1">
      <alignment horizontal="center"/>
    </xf>
    <xf numFmtId="0" fontId="41" fillId="23" borderId="35" xfId="0" applyFont="1" applyFill="1" applyBorder="1" applyAlignment="1">
      <alignment horizontal="center"/>
    </xf>
    <xf numFmtId="0" fontId="41" fillId="23" borderId="3" xfId="0" applyFont="1" applyFill="1" applyBorder="1" applyAlignment="1">
      <alignment horizontal="center"/>
    </xf>
    <xf numFmtId="0" fontId="44" fillId="0" borderId="9" xfId="0" applyFont="1" applyBorder="1" applyAlignment="1">
      <alignment vertical="top" wrapText="1"/>
    </xf>
    <xf numFmtId="0" fontId="45" fillId="19" borderId="9" xfId="0" applyFont="1" applyFill="1" applyBorder="1" applyAlignment="1">
      <alignment horizontal="center" vertical="center" wrapText="1" readingOrder="1"/>
    </xf>
    <xf numFmtId="0" fontId="47" fillId="0" borderId="1" xfId="0" applyFont="1" applyBorder="1" applyAlignment="1">
      <alignment horizontal="center" vertical="center" wrapText="1" readingOrder="1"/>
    </xf>
    <xf numFmtId="17" fontId="47" fillId="23" borderId="1" xfId="0" applyNumberFormat="1" applyFont="1" applyFill="1" applyBorder="1" applyAlignment="1">
      <alignment horizontal="center" vertical="center" wrapText="1" readingOrder="1"/>
    </xf>
    <xf numFmtId="0" fontId="49" fillId="19" borderId="1" xfId="0" applyFont="1" applyFill="1" applyBorder="1" applyAlignment="1">
      <alignment horizontal="left" vertical="center" wrapText="1" indent="1" readingOrder="1"/>
    </xf>
    <xf numFmtId="0" fontId="49" fillId="19" borderId="1" xfId="0" applyFont="1" applyFill="1" applyBorder="1" applyAlignment="1">
      <alignment horizontal="center" vertical="center" wrapText="1" readingOrder="1"/>
    </xf>
    <xf numFmtId="0" fontId="50" fillId="19" borderId="1" xfId="0" applyFont="1" applyFill="1" applyBorder="1" applyAlignment="1">
      <alignment horizontal="left" vertical="center" wrapText="1" indent="1" readingOrder="1"/>
    </xf>
    <xf numFmtId="0" fontId="51" fillId="19" borderId="1" xfId="0" applyFont="1" applyFill="1" applyBorder="1" applyAlignment="1">
      <alignment horizontal="center" vertical="center" wrapText="1" readingOrder="1"/>
    </xf>
    <xf numFmtId="0" fontId="52" fillId="19" borderId="1" xfId="0" applyFont="1" applyFill="1" applyBorder="1" applyAlignment="1">
      <alignment horizontal="left" vertical="center" wrapText="1" indent="1" readingOrder="1"/>
    </xf>
    <xf numFmtId="0" fontId="0" fillId="19" borderId="1" xfId="0" applyFill="1" applyBorder="1" applyAlignment="1">
      <alignment horizontal="center" vertical="center" wrapText="1"/>
    </xf>
    <xf numFmtId="0" fontId="53" fillId="25" borderId="38" xfId="0" applyFont="1" applyFill="1" applyBorder="1" applyAlignment="1">
      <alignment horizontal="center" vertical="center"/>
    </xf>
    <xf numFmtId="0" fontId="53" fillId="25" borderId="43" xfId="0" applyFont="1" applyFill="1" applyBorder="1" applyAlignment="1">
      <alignment horizontal="center" vertical="center"/>
    </xf>
    <xf numFmtId="0" fontId="55" fillId="26" borderId="46" xfId="0" applyFont="1" applyFill="1" applyBorder="1" applyAlignment="1">
      <alignment horizontal="left" vertical="center"/>
    </xf>
    <xf numFmtId="164" fontId="56" fillId="26" borderId="46" xfId="0" applyNumberFormat="1" applyFont="1" applyFill="1" applyBorder="1" applyAlignment="1">
      <alignment horizontal="right" vertical="center"/>
    </xf>
    <xf numFmtId="17" fontId="55" fillId="26" borderId="46" xfId="0" applyNumberFormat="1" applyFont="1" applyFill="1" applyBorder="1" applyAlignment="1">
      <alignment horizontal="right" vertical="center"/>
    </xf>
    <xf numFmtId="0" fontId="55" fillId="26" borderId="47" xfId="0" applyFont="1" applyFill="1" applyBorder="1" applyAlignment="1">
      <alignment horizontal="left" vertical="center"/>
    </xf>
    <xf numFmtId="164" fontId="56" fillId="26" borderId="48" xfId="0" applyNumberFormat="1" applyFont="1" applyFill="1" applyBorder="1" applyAlignment="1">
      <alignment horizontal="right" vertical="center"/>
    </xf>
    <xf numFmtId="17" fontId="55" fillId="26" borderId="48" xfId="0" applyNumberFormat="1" applyFont="1" applyFill="1" applyBorder="1" applyAlignment="1">
      <alignment horizontal="right" vertical="center"/>
    </xf>
    <xf numFmtId="0" fontId="57" fillId="27" borderId="45" xfId="0" applyFont="1" applyFill="1" applyBorder="1" applyAlignment="1">
      <alignment horizontal="left" vertical="center"/>
    </xf>
    <xf numFmtId="0" fontId="55" fillId="27" borderId="50" xfId="0" applyFont="1" applyFill="1" applyBorder="1" applyAlignment="1">
      <alignment horizontal="left" vertical="center"/>
    </xf>
    <xf numFmtId="164" fontId="56" fillId="27" borderId="51" xfId="0" applyNumberFormat="1" applyFont="1" applyFill="1" applyBorder="1" applyAlignment="1">
      <alignment horizontal="right" vertical="center"/>
    </xf>
    <xf numFmtId="0" fontId="55" fillId="27" borderId="52" xfId="0" applyFont="1" applyFill="1" applyBorder="1" applyAlignment="1">
      <alignment horizontal="left" vertical="center"/>
    </xf>
    <xf numFmtId="0" fontId="55" fillId="28" borderId="52" xfId="0" applyFont="1" applyFill="1" applyBorder="1" applyAlignment="1">
      <alignment horizontal="left" vertical="center"/>
    </xf>
    <xf numFmtId="0" fontId="57" fillId="29" borderId="45" xfId="0" applyFont="1" applyFill="1" applyBorder="1" applyAlignment="1">
      <alignment horizontal="left" vertical="center"/>
    </xf>
    <xf numFmtId="0" fontId="44" fillId="29" borderId="50" xfId="0" applyFont="1" applyFill="1" applyBorder="1" applyAlignment="1">
      <alignment horizontal="right" vertical="center"/>
    </xf>
    <xf numFmtId="164" fontId="57" fillId="29" borderId="51" xfId="0" applyNumberFormat="1" applyFont="1" applyFill="1" applyBorder="1" applyAlignment="1">
      <alignment horizontal="right" vertical="center"/>
    </xf>
    <xf numFmtId="0" fontId="44" fillId="29" borderId="51" xfId="0" applyFont="1" applyFill="1" applyBorder="1" applyAlignment="1">
      <alignment horizontal="right" vertical="center"/>
    </xf>
    <xf numFmtId="0" fontId="44" fillId="29" borderId="50" xfId="0" applyFont="1" applyFill="1" applyBorder="1" applyAlignment="1">
      <alignment vertical="center"/>
    </xf>
    <xf numFmtId="0" fontId="14" fillId="14" borderId="56" xfId="0" applyFont="1" applyFill="1" applyBorder="1" applyAlignment="1">
      <alignment horizontal="center" vertical="center"/>
    </xf>
    <xf numFmtId="9" fontId="0" fillId="0" borderId="0" xfId="5" applyFont="1"/>
    <xf numFmtId="49" fontId="0" fillId="0" borderId="0" xfId="0" applyNumberFormat="1"/>
    <xf numFmtId="165" fontId="58" fillId="0" borderId="1" xfId="4" applyFont="1" applyBorder="1" applyAlignment="1">
      <alignment horizontal="right" vertical="center"/>
    </xf>
    <xf numFmtId="0" fontId="58" fillId="0" borderId="1" xfId="4" applyNumberFormat="1" applyFont="1" applyFill="1" applyBorder="1" applyAlignment="1">
      <alignment horizontal="left" vertical="center" wrapText="1"/>
    </xf>
    <xf numFmtId="49" fontId="58" fillId="0" borderId="1" xfId="4" applyNumberFormat="1" applyFont="1" applyFill="1" applyBorder="1" applyAlignment="1">
      <alignment horizontal="left" vertical="center" wrapText="1"/>
    </xf>
    <xf numFmtId="49" fontId="59" fillId="0" borderId="1" xfId="4" applyNumberFormat="1" applyFont="1" applyFill="1" applyBorder="1" applyAlignment="1">
      <alignment horizontal="left" vertical="center" wrapText="1"/>
    </xf>
    <xf numFmtId="165" fontId="60" fillId="0" borderId="1" xfId="4" applyFont="1" applyFill="1" applyBorder="1" applyAlignment="1">
      <alignment horizontal="right" vertical="center" wrapText="1"/>
    </xf>
    <xf numFmtId="0" fontId="58" fillId="0" borderId="1" xfId="0" applyFont="1" applyBorder="1"/>
    <xf numFmtId="0" fontId="10" fillId="0" borderId="0" xfId="0" applyFont="1" applyAlignment="1">
      <alignment horizontal="left" vertical="center" wrapText="1"/>
    </xf>
    <xf numFmtId="164" fontId="39" fillId="0" borderId="0" xfId="4" applyNumberFormat="1" applyFont="1" applyFill="1" applyBorder="1" applyAlignment="1">
      <alignment horizontal="center" vertical="center"/>
    </xf>
    <xf numFmtId="165" fontId="62" fillId="0" borderId="0" xfId="4" applyFont="1" applyBorder="1" applyAlignment="1">
      <alignment horizontal="center" vertical="center"/>
    </xf>
    <xf numFmtId="0" fontId="16" fillId="0" borderId="0" xfId="0" applyFont="1"/>
    <xf numFmtId="0" fontId="0" fillId="0" borderId="0" xfId="0" applyAlignment="1">
      <alignment wrapText="1"/>
    </xf>
    <xf numFmtId="165" fontId="34" fillId="0" borderId="0" xfId="0" applyNumberFormat="1" applyFont="1" applyAlignment="1">
      <alignment horizontal="center" vertical="center"/>
    </xf>
    <xf numFmtId="0" fontId="41" fillId="23" borderId="1" xfId="0" applyFont="1" applyFill="1" applyBorder="1" applyAlignment="1">
      <alignment horizontal="center"/>
    </xf>
    <xf numFmtId="165" fontId="61" fillId="0" borderId="1" xfId="4" applyFont="1" applyBorder="1" applyAlignment="1">
      <alignment horizontal="center" vertical="center"/>
    </xf>
    <xf numFmtId="165" fontId="62" fillId="0" borderId="1" xfId="4" applyFont="1" applyBorder="1" applyAlignment="1">
      <alignment horizontal="center" vertical="center"/>
    </xf>
    <xf numFmtId="0" fontId="63" fillId="7" borderId="59" xfId="0" applyFont="1" applyFill="1" applyBorder="1" applyAlignment="1">
      <alignment vertical="center"/>
    </xf>
    <xf numFmtId="0" fontId="63" fillId="7" borderId="60" xfId="0" applyFont="1" applyFill="1" applyBorder="1" applyAlignment="1">
      <alignment vertical="center"/>
    </xf>
    <xf numFmtId="0" fontId="63" fillId="7" borderId="60" xfId="0" applyFont="1" applyFill="1" applyBorder="1" applyAlignment="1">
      <alignment vertical="center" wrapText="1"/>
    </xf>
    <xf numFmtId="0" fontId="65" fillId="10" borderId="61" xfId="0" applyFont="1" applyFill="1" applyBorder="1" applyAlignment="1">
      <alignment vertical="center"/>
    </xf>
    <xf numFmtId="0" fontId="66" fillId="10" borderId="62" xfId="0" applyFont="1" applyFill="1" applyBorder="1" applyAlignment="1">
      <alignment vertical="center" wrapText="1"/>
    </xf>
    <xf numFmtId="0" fontId="65" fillId="10" borderId="62" xfId="0" applyFont="1" applyFill="1" applyBorder="1" applyAlignment="1">
      <alignment vertical="center" wrapText="1"/>
    </xf>
    <xf numFmtId="0" fontId="64" fillId="0" borderId="61" xfId="0" applyFont="1" applyBorder="1" applyAlignment="1">
      <alignment vertical="center"/>
    </xf>
    <xf numFmtId="0" fontId="67" fillId="0" borderId="62" xfId="0" applyFont="1" applyBorder="1" applyAlignment="1">
      <alignment vertical="center" wrapText="1"/>
    </xf>
    <xf numFmtId="0" fontId="64" fillId="0" borderId="62" xfId="0" applyFont="1" applyBorder="1" applyAlignment="1">
      <alignment vertical="center" wrapText="1"/>
    </xf>
    <xf numFmtId="0" fontId="14" fillId="14" borderId="19" xfId="0" applyFont="1" applyFill="1" applyBorder="1" applyAlignment="1">
      <alignment horizontal="center" vertical="center" wrapText="1"/>
    </xf>
    <xf numFmtId="175" fontId="66" fillId="10" borderId="62" xfId="0" applyNumberFormat="1" applyFont="1" applyFill="1" applyBorder="1" applyAlignment="1">
      <alignment vertical="center" wrapText="1"/>
    </xf>
    <xf numFmtId="164" fontId="0" fillId="0" borderId="9" xfId="0" applyNumberFormat="1" applyBorder="1" applyAlignment="1">
      <alignment vertical="center"/>
    </xf>
    <xf numFmtId="0" fontId="72" fillId="0" borderId="0" xfId="0" applyFont="1" applyAlignment="1">
      <alignment wrapText="1"/>
    </xf>
    <xf numFmtId="14" fontId="34" fillId="0" borderId="0" xfId="0" applyNumberFormat="1" applyFont="1" applyAlignment="1">
      <alignment vertical="center"/>
    </xf>
    <xf numFmtId="1" fontId="39" fillId="0" borderId="0" xfId="0" applyNumberFormat="1" applyFont="1" applyAlignment="1">
      <alignment horizontal="center" vertical="center"/>
    </xf>
    <xf numFmtId="0" fontId="0" fillId="0" borderId="7" xfId="0" applyBorder="1" applyAlignment="1">
      <alignment wrapText="1"/>
    </xf>
    <xf numFmtId="169" fontId="0" fillId="0" borderId="7" xfId="0" applyNumberFormat="1" applyBorder="1"/>
    <xf numFmtId="169" fontId="0" fillId="0" borderId="2" xfId="0" applyNumberFormat="1" applyBorder="1"/>
    <xf numFmtId="14" fontId="0" fillId="0" borderId="0" xfId="0" applyNumberFormat="1"/>
    <xf numFmtId="9" fontId="29" fillId="0" borderId="0" xfId="4" applyNumberFormat="1" applyFont="1" applyBorder="1" applyAlignment="1">
      <alignment vertical="center" wrapText="1"/>
    </xf>
    <xf numFmtId="9" fontId="73" fillId="0" borderId="0" xfId="4" applyNumberFormat="1" applyFont="1" applyBorder="1" applyAlignment="1">
      <alignment vertical="center"/>
    </xf>
    <xf numFmtId="164" fontId="0" fillId="5" borderId="26" xfId="0" applyNumberFormat="1" applyFill="1" applyBorder="1" applyAlignment="1">
      <alignment horizontal="center" vertical="center"/>
    </xf>
    <xf numFmtId="165" fontId="61" fillId="0" borderId="1" xfId="4" applyFont="1" applyFill="1" applyBorder="1" applyAlignment="1">
      <alignment horizontal="center" vertical="center"/>
    </xf>
    <xf numFmtId="176" fontId="34" fillId="0" borderId="0" xfId="0" applyNumberFormat="1" applyFont="1" applyAlignment="1">
      <alignment horizontal="center" vertical="center"/>
    </xf>
    <xf numFmtId="2" fontId="34" fillId="0" borderId="0" xfId="0" applyNumberFormat="1" applyFont="1" applyAlignment="1">
      <alignment horizontal="center" vertical="center"/>
    </xf>
    <xf numFmtId="0" fontId="14" fillId="14" borderId="25" xfId="0" applyFont="1" applyFill="1" applyBorder="1" applyAlignment="1">
      <alignment horizontal="center" vertical="center" wrapText="1"/>
    </xf>
    <xf numFmtId="0" fontId="14" fillId="14" borderId="26" xfId="0" applyFont="1" applyFill="1" applyBorder="1" applyAlignment="1">
      <alignment horizontal="center" vertical="center" wrapText="1"/>
    </xf>
    <xf numFmtId="0" fontId="14" fillId="14" borderId="13" xfId="0" applyFont="1" applyFill="1" applyBorder="1" applyAlignment="1">
      <alignment horizontal="center" vertical="center" wrapText="1"/>
    </xf>
    <xf numFmtId="0" fontId="14" fillId="14" borderId="1" xfId="0" applyFont="1" applyFill="1" applyBorder="1" applyAlignment="1">
      <alignment horizontal="center" vertical="center" wrapText="1"/>
    </xf>
    <xf numFmtId="0" fontId="14" fillId="14" borderId="18" xfId="0" applyFont="1" applyFill="1" applyBorder="1" applyAlignment="1">
      <alignment horizontal="center" vertical="center"/>
    </xf>
    <xf numFmtId="0" fontId="14" fillId="14" borderId="1" xfId="0" applyFont="1" applyFill="1" applyBorder="1" applyAlignment="1">
      <alignment horizontal="center" vertical="center"/>
    </xf>
    <xf numFmtId="0" fontId="14" fillId="14" borderId="20" xfId="0" applyFont="1" applyFill="1" applyBorder="1" applyAlignment="1">
      <alignment horizontal="center" vertical="center"/>
    </xf>
    <xf numFmtId="0" fontId="14" fillId="14" borderId="13" xfId="0" applyFont="1" applyFill="1" applyBorder="1" applyAlignment="1">
      <alignment horizontal="center" vertical="center"/>
    </xf>
    <xf numFmtId="165" fontId="0" fillId="0" borderId="0" xfId="0" applyNumberFormat="1"/>
    <xf numFmtId="164" fontId="38" fillId="0" borderId="0" xfId="4" applyNumberFormat="1" applyFont="1" applyFill="1" applyBorder="1" applyAlignment="1">
      <alignment horizontal="right" vertical="center"/>
    </xf>
    <xf numFmtId="164" fontId="2" fillId="15" borderId="24" xfId="0" applyNumberFormat="1" applyFont="1" applyFill="1" applyBorder="1"/>
    <xf numFmtId="2" fontId="34" fillId="0" borderId="0" xfId="0" applyNumberFormat="1" applyFont="1" applyAlignment="1">
      <alignment horizontal="right" vertical="center"/>
    </xf>
    <xf numFmtId="0" fontId="46" fillId="24" borderId="1" xfId="0" applyFont="1" applyFill="1" applyBorder="1" applyAlignment="1">
      <alignment horizontal="left" vertical="center" wrapText="1" indent="1" readingOrder="1"/>
    </xf>
    <xf numFmtId="0" fontId="47" fillId="23" borderId="1" xfId="0" applyFont="1" applyFill="1" applyBorder="1" applyAlignment="1">
      <alignment horizontal="center" vertical="center" wrapText="1" readingOrder="1"/>
    </xf>
    <xf numFmtId="0" fontId="53" fillId="25" borderId="39" xfId="0" applyFont="1" applyFill="1" applyBorder="1" applyAlignment="1">
      <alignment horizontal="center" vertical="center"/>
    </xf>
    <xf numFmtId="0" fontId="53" fillId="25" borderId="0" xfId="0" applyFont="1" applyFill="1" applyAlignment="1">
      <alignment horizontal="center" vertical="center"/>
    </xf>
    <xf numFmtId="0" fontId="0" fillId="17" borderId="8" xfId="0" applyFill="1" applyBorder="1" applyAlignment="1">
      <alignment horizontal="center" vertical="center"/>
    </xf>
    <xf numFmtId="0" fontId="0" fillId="17" borderId="1" xfId="0" applyFill="1" applyBorder="1" applyAlignment="1">
      <alignment horizontal="center" vertical="center"/>
    </xf>
    <xf numFmtId="0" fontId="0" fillId="17" borderId="9" xfId="0" applyFill="1" applyBorder="1" applyAlignment="1">
      <alignment horizontal="center" vertical="center"/>
    </xf>
    <xf numFmtId="165" fontId="58" fillId="0" borderId="1" xfId="4" applyFont="1" applyBorder="1" applyAlignment="1">
      <alignment horizontal="left" vertical="center"/>
    </xf>
    <xf numFmtId="0" fontId="14" fillId="14" borderId="57" xfId="0" applyFont="1" applyFill="1" applyBorder="1" applyAlignment="1">
      <alignment horizontal="center" vertical="center"/>
    </xf>
    <xf numFmtId="0" fontId="14" fillId="14" borderId="58" xfId="0" applyFont="1" applyFill="1" applyBorder="1" applyAlignment="1">
      <alignment horizontal="center" vertical="center"/>
    </xf>
    <xf numFmtId="165" fontId="2" fillId="0" borderId="7" xfId="4" applyFont="1" applyFill="1" applyBorder="1" applyAlignment="1">
      <alignment horizontal="center" vertical="center" wrapText="1"/>
    </xf>
    <xf numFmtId="165" fontId="2" fillId="0" borderId="8" xfId="4" applyFont="1" applyFill="1" applyBorder="1" applyAlignment="1">
      <alignment horizontal="center" vertical="center" wrapText="1"/>
    </xf>
    <xf numFmtId="165" fontId="2" fillId="0" borderId="9" xfId="4" applyFont="1" applyFill="1" applyBorder="1" applyAlignment="1">
      <alignment horizontal="center" vertical="center" wrapText="1"/>
    </xf>
    <xf numFmtId="165" fontId="0" fillId="0" borderId="7" xfId="0" applyNumberFormat="1" applyBorder="1" applyAlignment="1">
      <alignment horizontal="center" vertical="center" wrapText="1"/>
    </xf>
    <xf numFmtId="165" fontId="0" fillId="0" borderId="8" xfId="0" applyNumberFormat="1" applyBorder="1" applyAlignment="1">
      <alignment horizontal="center" vertical="center" wrapText="1"/>
    </xf>
    <xf numFmtId="165" fontId="0" fillId="0" borderId="9" xfId="0" applyNumberFormat="1" applyBorder="1" applyAlignment="1">
      <alignment horizontal="center" vertical="center" wrapText="1"/>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165" fontId="2" fillId="0" borderId="7" xfId="4" applyFont="1" applyFill="1" applyBorder="1" applyAlignment="1">
      <alignment horizontal="center" vertical="center"/>
    </xf>
    <xf numFmtId="165" fontId="2" fillId="0" borderId="8" xfId="4" applyFont="1" applyFill="1" applyBorder="1" applyAlignment="1">
      <alignment horizontal="center" vertical="center"/>
    </xf>
    <xf numFmtId="165" fontId="2" fillId="0" borderId="9" xfId="4" applyFont="1" applyFill="1" applyBorder="1" applyAlignment="1">
      <alignment horizontal="center" vertical="center"/>
    </xf>
    <xf numFmtId="9" fontId="26" fillId="0" borderId="1" xfId="4" applyNumberFormat="1" applyFont="1" applyFill="1" applyBorder="1" applyAlignment="1">
      <alignment horizontal="center" vertical="center" wrapText="1"/>
    </xf>
    <xf numFmtId="9" fontId="26" fillId="0" borderId="7" xfId="4" applyNumberFormat="1" applyFont="1" applyFill="1" applyBorder="1" applyAlignment="1">
      <alignment horizontal="center" vertical="center" wrapText="1"/>
    </xf>
    <xf numFmtId="9" fontId="26" fillId="0" borderId="8" xfId="4" applyNumberFormat="1" applyFont="1" applyFill="1" applyBorder="1" applyAlignment="1">
      <alignment horizontal="center" vertical="center" wrapText="1"/>
    </xf>
    <xf numFmtId="9" fontId="26" fillId="0" borderId="9" xfId="4" applyNumberFormat="1" applyFont="1" applyFill="1" applyBorder="1" applyAlignment="1">
      <alignment horizontal="center" vertical="center" wrapText="1"/>
    </xf>
    <xf numFmtId="165" fontId="20" fillId="0" borderId="1" xfId="4" applyFont="1" applyBorder="1" applyAlignment="1">
      <alignment horizontal="center" vertical="center" wrapText="1"/>
    </xf>
    <xf numFmtId="0" fontId="21" fillId="0" borderId="1" xfId="0" applyFont="1" applyBorder="1" applyAlignment="1">
      <alignment horizontal="center" vertical="center"/>
    </xf>
    <xf numFmtId="0" fontId="41" fillId="19" borderId="2" xfId="0" applyFont="1" applyFill="1" applyBorder="1" applyAlignment="1">
      <alignment horizontal="center"/>
    </xf>
    <xf numFmtId="0" fontId="41" fillId="19" borderId="35" xfId="0" applyFont="1" applyFill="1" applyBorder="1" applyAlignment="1">
      <alignment horizontal="center"/>
    </xf>
    <xf numFmtId="0" fontId="41" fillId="19" borderId="3" xfId="0" applyFont="1" applyFill="1" applyBorder="1" applyAlignment="1">
      <alignment horizontal="center"/>
    </xf>
    <xf numFmtId="0" fontId="41" fillId="19" borderId="1" xfId="0" applyFont="1" applyFill="1" applyBorder="1" applyAlignment="1">
      <alignment horizontal="center"/>
    </xf>
    <xf numFmtId="0" fontId="50" fillId="19" borderId="1" xfId="0" applyFont="1" applyFill="1" applyBorder="1" applyAlignment="1">
      <alignment horizontal="center" vertical="center" wrapText="1" readingOrder="1"/>
    </xf>
    <xf numFmtId="0" fontId="42" fillId="23" borderId="7" xfId="0" applyFont="1" applyFill="1" applyBorder="1" applyAlignment="1">
      <alignment horizontal="center" vertical="center" wrapText="1" readingOrder="1"/>
    </xf>
    <xf numFmtId="0" fontId="46" fillId="24" borderId="1" xfId="0" applyFont="1" applyFill="1" applyBorder="1" applyAlignment="1">
      <alignment horizontal="left" vertical="center" wrapText="1" indent="1" readingOrder="1"/>
    </xf>
    <xf numFmtId="0" fontId="47" fillId="23" borderId="1" xfId="0" applyFont="1" applyFill="1" applyBorder="1" applyAlignment="1">
      <alignment horizontal="center" vertical="center" wrapText="1" readingOrder="1"/>
    </xf>
    <xf numFmtId="0" fontId="53" fillId="25" borderId="40" xfId="0" applyFont="1" applyFill="1" applyBorder="1" applyAlignment="1">
      <alignment horizontal="center" vertical="center"/>
    </xf>
    <xf numFmtId="0" fontId="53" fillId="25" borderId="44" xfId="0" applyFont="1" applyFill="1" applyBorder="1" applyAlignment="1">
      <alignment horizontal="center" vertical="center"/>
    </xf>
    <xf numFmtId="0" fontId="54" fillId="26" borderId="45" xfId="0" applyFont="1" applyFill="1" applyBorder="1" applyAlignment="1">
      <alignment horizontal="left" vertical="center"/>
    </xf>
    <xf numFmtId="0" fontId="54" fillId="26" borderId="49" xfId="0" applyFont="1" applyFill="1" applyBorder="1" applyAlignment="1">
      <alignment horizontal="left" vertical="center"/>
    </xf>
    <xf numFmtId="0" fontId="54" fillId="28" borderId="53" xfId="0" applyFont="1" applyFill="1" applyBorder="1" applyAlignment="1">
      <alignment horizontal="left" vertical="center"/>
    </xf>
    <xf numFmtId="0" fontId="54" fillId="28" borderId="54" xfId="0" applyFont="1" applyFill="1" applyBorder="1" applyAlignment="1">
      <alignment horizontal="left" vertical="center"/>
    </xf>
    <xf numFmtId="0" fontId="54" fillId="28" borderId="0" xfId="0" applyFont="1" applyFill="1" applyAlignment="1">
      <alignment horizontal="left" vertical="center"/>
    </xf>
    <xf numFmtId="0" fontId="54" fillId="28" borderId="55" xfId="0" applyFont="1" applyFill="1" applyBorder="1" applyAlignment="1">
      <alignment horizontal="left" vertical="center"/>
    </xf>
    <xf numFmtId="0" fontId="54" fillId="28" borderId="45" xfId="0" applyFont="1" applyFill="1" applyBorder="1" applyAlignment="1">
      <alignment horizontal="left" vertical="center"/>
    </xf>
    <xf numFmtId="0" fontId="53" fillId="25" borderId="36" xfId="0" applyFont="1" applyFill="1" applyBorder="1" applyAlignment="1">
      <alignment horizontal="center" vertical="center"/>
    </xf>
    <xf numFmtId="0" fontId="53" fillId="25" borderId="41" xfId="0" applyFont="1" applyFill="1" applyBorder="1" applyAlignment="1">
      <alignment horizontal="center" vertical="center"/>
    </xf>
    <xf numFmtId="0" fontId="53" fillId="25" borderId="37" xfId="0" applyFont="1" applyFill="1" applyBorder="1" applyAlignment="1">
      <alignment horizontal="center" vertical="center"/>
    </xf>
    <xf numFmtId="0" fontId="53" fillId="25" borderId="42" xfId="0" applyFont="1" applyFill="1" applyBorder="1" applyAlignment="1">
      <alignment horizontal="center" vertical="center"/>
    </xf>
    <xf numFmtId="0" fontId="53" fillId="25" borderId="39" xfId="0" applyFont="1" applyFill="1" applyBorder="1" applyAlignment="1">
      <alignment horizontal="center" vertical="center"/>
    </xf>
    <xf numFmtId="0" fontId="53" fillId="25" borderId="0" xfId="0" applyFont="1" applyFill="1" applyAlignment="1">
      <alignment horizontal="center" vertical="center"/>
    </xf>
    <xf numFmtId="170" fontId="2" fillId="13" borderId="1" xfId="0" applyNumberFormat="1" applyFont="1" applyFill="1" applyBorder="1" applyAlignment="1">
      <alignment horizontal="center" vertical="center"/>
    </xf>
    <xf numFmtId="170" fontId="0" fillId="13" borderId="1" xfId="0" applyNumberFormat="1" applyFill="1" applyBorder="1" applyAlignment="1">
      <alignment horizontal="center" vertical="center"/>
    </xf>
    <xf numFmtId="0" fontId="0" fillId="17" borderId="7" xfId="0" applyFill="1" applyBorder="1" applyAlignment="1">
      <alignment horizontal="center" vertical="center"/>
    </xf>
    <xf numFmtId="0" fontId="0" fillId="17" borderId="8" xfId="0" applyFill="1" applyBorder="1" applyAlignment="1">
      <alignment horizontal="center" vertical="center"/>
    </xf>
    <xf numFmtId="0" fontId="0" fillId="17" borderId="1" xfId="0" applyFill="1" applyBorder="1" applyAlignment="1">
      <alignment horizontal="center" vertical="center"/>
    </xf>
    <xf numFmtId="0" fontId="0" fillId="17" borderId="9" xfId="0" applyFill="1" applyBorder="1" applyAlignment="1">
      <alignment horizontal="center" vertical="center"/>
    </xf>
    <xf numFmtId="0" fontId="6" fillId="7" borderId="1" xfId="0" applyFont="1" applyFill="1" applyBorder="1" applyAlignment="1">
      <alignment horizontal="right" vertical="center" wrapText="1"/>
    </xf>
    <xf numFmtId="0" fontId="6" fillId="7" borderId="1" xfId="0" applyFont="1" applyFill="1" applyBorder="1" applyAlignment="1">
      <alignment horizontal="center" vertical="center"/>
    </xf>
    <xf numFmtId="0" fontId="6" fillId="7"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8" borderId="1" xfId="0" applyFont="1" applyFill="1" applyBorder="1" applyAlignment="1">
      <alignment horizontal="right" vertical="center" wrapText="1"/>
    </xf>
    <xf numFmtId="0" fontId="6" fillId="7" borderId="7" xfId="0" applyFont="1" applyFill="1" applyBorder="1" applyAlignment="1">
      <alignment horizontal="right" vertical="center" wrapText="1"/>
    </xf>
    <xf numFmtId="0" fontId="6" fillId="7" borderId="8" xfId="0" applyFont="1" applyFill="1" applyBorder="1" applyAlignment="1">
      <alignment horizontal="right" vertical="center" wrapText="1"/>
    </xf>
    <xf numFmtId="0" fontId="6" fillId="7" borderId="9" xfId="0" applyFont="1" applyFill="1" applyBorder="1" applyAlignment="1">
      <alignment horizontal="right" vertical="center" wrapText="1"/>
    </xf>
  </cellXfs>
  <cellStyles count="8">
    <cellStyle name="Comma" xfId="3" builtinId="3"/>
    <cellStyle name="Currency" xfId="4" builtinId="4"/>
    <cellStyle name="Input" xfId="6" builtinId="20"/>
    <cellStyle name="Normal" xfId="0" builtinId="0"/>
    <cellStyle name="Normal 2" xfId="2"/>
    <cellStyle name="Percent" xfId="5" builtinId="5"/>
    <cellStyle name="Valuta 2" xfId="1"/>
    <cellStyle name="Valuta 3" xfId="7"/>
  </cellStyles>
  <dxfs count="44">
    <dxf>
      <font>
        <b val="0"/>
        <i val="0"/>
        <strike val="0"/>
        <condense val="0"/>
        <extend val="0"/>
        <outline val="0"/>
        <shadow val="0"/>
        <u val="none"/>
        <vertAlign val="baseline"/>
        <sz val="9"/>
        <color auto="1"/>
        <name val="Calibri"/>
        <scheme val="none"/>
      </font>
      <alignment vertical="center" textRotation="0" indent="0" justifyLastLine="0" shrinkToFit="0" readingOrder="0"/>
    </dxf>
    <dxf>
      <font>
        <b val="0"/>
        <i val="0"/>
        <strike val="0"/>
        <condense val="0"/>
        <extend val="0"/>
        <outline val="0"/>
        <shadow val="0"/>
        <u val="none"/>
        <vertAlign val="baseline"/>
        <sz val="9"/>
        <color auto="1"/>
        <name val="Calibri"/>
        <scheme val="none"/>
      </font>
      <alignment vertical="center" textRotation="0" indent="0" justifyLastLine="0" shrinkToFit="0" readingOrder="0"/>
    </dxf>
    <dxf>
      <font>
        <b val="0"/>
        <i val="0"/>
        <strike val="0"/>
        <condense val="0"/>
        <extend val="0"/>
        <outline val="0"/>
        <shadow val="0"/>
        <u val="none"/>
        <vertAlign val="baseline"/>
        <sz val="9"/>
        <color auto="1"/>
        <name val="Calibri"/>
        <scheme val="none"/>
      </font>
      <numFmt numFmtId="30" formatCode="@"/>
      <alignment horizontal="general" vertical="center" textRotation="0" wrapText="1" indent="0" justifyLastLine="0" shrinkToFit="0" readingOrder="0"/>
    </dxf>
    <dxf>
      <font>
        <b val="0"/>
        <i val="0"/>
        <strike val="0"/>
        <condense val="0"/>
        <extend val="0"/>
        <outline val="0"/>
        <shadow val="0"/>
        <u val="none"/>
        <vertAlign val="baseline"/>
        <sz val="9"/>
        <color auto="1"/>
        <name val="Calibri"/>
        <scheme val="none"/>
      </font>
      <numFmt numFmtId="30" formatCode="@"/>
      <alignment horizontal="center" vertical="center" textRotation="0" wrapText="1" indent="0" justifyLastLine="0" shrinkToFit="0" readingOrder="0"/>
    </dxf>
    <dxf>
      <font>
        <b val="0"/>
        <i val="0"/>
        <strike val="0"/>
        <condense val="0"/>
        <extend val="0"/>
        <outline val="0"/>
        <shadow val="0"/>
        <u val="none"/>
        <vertAlign val="baseline"/>
        <sz val="9"/>
        <color auto="1"/>
        <name val="Calibri"/>
        <scheme val="none"/>
      </font>
      <numFmt numFmtId="30" formatCode="@"/>
      <alignment horizontal="center" vertical="center" textRotation="0" wrapText="1" indent="0" justifyLastLine="0" shrinkToFit="0" readingOrder="0"/>
    </dxf>
    <dxf>
      <font>
        <b val="0"/>
        <i val="0"/>
        <strike val="0"/>
        <condense val="0"/>
        <extend val="0"/>
        <outline val="0"/>
        <shadow val="0"/>
        <u val="none"/>
        <vertAlign val="baseline"/>
        <sz val="9"/>
        <color auto="1"/>
        <name val="Calibri"/>
        <scheme val="none"/>
      </font>
      <numFmt numFmtId="165" formatCode="_-* #,##0.00\ &quot;€&quot;_-;\-* #,##0.00\ &quot;€&quot;_-;_-* &quot;-&quot;??\ &quot;€&quot;_-;_-@_-"/>
      <fill>
        <patternFill patternType="none">
          <fgColor indexed="64"/>
          <bgColor indexed="65"/>
        </patternFill>
      </fill>
      <alignment horizontal="center" vertical="center" textRotation="0" wrapText="0" indent="0" justifyLastLine="0" shrinkToFit="0" readingOrder="0"/>
    </dxf>
    <dxf>
      <font>
        <b val="0"/>
        <i/>
        <strike val="0"/>
        <condense val="0"/>
        <extend val="0"/>
        <outline val="0"/>
        <shadow val="0"/>
        <u val="none"/>
        <vertAlign val="baseline"/>
        <sz val="9"/>
        <color auto="1"/>
        <name val="Calibri"/>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auto="1"/>
        <name val="Calibri"/>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9"/>
        <color auto="1"/>
        <name val="Calibri"/>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auto="1"/>
        <name val="Calibri"/>
        <scheme val="minor"/>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9"/>
        <color auto="1"/>
        <name val="Calibri"/>
        <scheme val="minor"/>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9"/>
        <color auto="1"/>
        <name val="Calibri"/>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auto="1"/>
        <name val="Calibri"/>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auto="1"/>
        <name val="Calibri"/>
        <scheme val="minor"/>
      </font>
      <numFmt numFmtId="2" formatCode="0.00"/>
      <fill>
        <patternFill patternType="none">
          <fgColor indexed="64"/>
          <bgColor indexed="65"/>
        </patternFill>
      </fill>
      <alignment horizontal="center" vertical="center" textRotation="0" wrapText="0" indent="0" justifyLastLine="0" shrinkToFit="0" readingOrder="0"/>
    </dxf>
    <dxf>
      <font>
        <i val="0"/>
        <strike val="0"/>
        <outline val="0"/>
        <shadow val="0"/>
        <u val="none"/>
        <vertAlign val="baseline"/>
        <sz val="9"/>
        <color auto="1"/>
        <name val="Calibri"/>
        <scheme val="minor"/>
      </font>
      <numFmt numFmtId="1" formatCode="0"/>
      <fill>
        <patternFill patternType="none">
          <fgColor indexed="64"/>
          <bgColor indexed="65"/>
        </patternFill>
      </fill>
      <alignment horizontal="center" vertical="center" textRotation="0" wrapText="0" indent="0" justifyLastLine="0" shrinkToFit="0" readingOrder="0"/>
    </dxf>
    <dxf>
      <font>
        <b val="0"/>
        <i/>
        <strike val="0"/>
        <condense val="0"/>
        <extend val="0"/>
        <outline val="0"/>
        <shadow val="0"/>
        <u val="none"/>
        <vertAlign val="baseline"/>
        <sz val="9"/>
        <color auto="1"/>
        <name val="Calibri"/>
        <scheme val="minor"/>
      </font>
      <numFmt numFmtId="165" formatCode="_-* #,##0.00\ &quot;€&quot;_-;\-* #,##0.00\ &quot;€&quot;_-;_-* &quot;-&quot;??\ &quot;€&quot;_-;_-@_-"/>
      <alignment horizontal="center" vertical="center" textRotation="0" wrapText="0" indent="0" justifyLastLine="0" shrinkToFit="0" readingOrder="0"/>
    </dxf>
    <dxf>
      <font>
        <b val="0"/>
        <i val="0"/>
        <strike val="0"/>
        <condense val="0"/>
        <extend val="0"/>
        <outline val="0"/>
        <shadow val="0"/>
        <u val="none"/>
        <vertAlign val="baseline"/>
        <sz val="9"/>
        <color auto="1"/>
        <name val="Calibri"/>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9"/>
        <color auto="1"/>
        <name val="Calibri"/>
        <scheme val="minor"/>
      </font>
      <numFmt numFmtId="177" formatCode="dd/mm/yyyy"/>
      <alignment horizontal="center" vertical="center" textRotation="0" wrapText="0" indent="0" justifyLastLine="0" shrinkToFit="0" readingOrder="0"/>
    </dxf>
    <dxf>
      <font>
        <b val="0"/>
        <i val="0"/>
        <strike val="0"/>
        <condense val="0"/>
        <extend val="0"/>
        <outline val="0"/>
        <shadow val="0"/>
        <u val="none"/>
        <vertAlign val="baseline"/>
        <sz val="9"/>
        <color auto="1"/>
        <name val="Calibri"/>
        <scheme val="minor"/>
      </font>
      <numFmt numFmtId="177" formatCode="dd/mm/yyyy"/>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9"/>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Calibri"/>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Calibri"/>
        <scheme val="minor"/>
      </font>
      <alignment horizontal="left" vertical="center" textRotation="0" wrapText="1" indent="0" justifyLastLine="0" shrinkToFit="0" readingOrder="0"/>
    </dxf>
    <dxf>
      <font>
        <b val="0"/>
        <i val="0"/>
        <strike val="0"/>
        <condense val="0"/>
        <extend val="0"/>
        <outline val="0"/>
        <shadow val="0"/>
        <u val="none"/>
        <vertAlign val="baseline"/>
        <sz val="9"/>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9"/>
        <color auto="1"/>
        <name val="Calibri"/>
        <scheme val="minor"/>
      </font>
      <numFmt numFmtId="177" formatCode="dd/mm/yyyy"/>
      <alignment horizontal="general" vertical="center" textRotation="0" wrapText="0" indent="0" justifyLastLine="0" shrinkToFit="0" readingOrder="0"/>
    </dxf>
    <dxf>
      <font>
        <b val="0"/>
        <i val="0"/>
        <strike val="0"/>
        <condense val="0"/>
        <extend val="0"/>
        <outline val="0"/>
        <shadow val="0"/>
        <u val="none"/>
        <vertAlign val="baseline"/>
        <sz val="9"/>
        <color auto="1"/>
        <name val="Calibri"/>
        <scheme val="minor"/>
      </font>
      <numFmt numFmtId="177" formatCode="dd/mm/yyyy"/>
      <alignment horizontal="left" vertical="center" textRotation="0" wrapText="0" indent="0" justifyLastLine="0" shrinkToFit="0" readingOrder="0"/>
      <border diagonalUp="0" diagonalDown="0" outline="0">
        <left style="thin">
          <color indexed="64"/>
        </left>
        <right/>
        <top style="thin">
          <color auto="1"/>
        </top>
        <bottom style="thin">
          <color auto="1"/>
        </bottom>
      </border>
    </dxf>
    <dxf>
      <font>
        <b val="0"/>
        <i/>
        <strike val="0"/>
        <condense val="0"/>
        <extend val="0"/>
        <outline val="0"/>
        <shadow val="0"/>
        <u val="none"/>
        <vertAlign val="baseline"/>
        <sz val="9"/>
        <color auto="1"/>
        <name val="Calibri"/>
        <scheme val="minor"/>
      </font>
      <fill>
        <patternFill patternType="solid">
          <fgColor indexed="64"/>
          <bgColor rgb="FFFFFF00"/>
        </patternFill>
      </fill>
      <alignment horizontal="center" vertical="center" textRotation="0" wrapText="0" indent="0" justifyLastLine="0" shrinkToFit="0" readingOrder="0"/>
    </dxf>
    <dxf>
      <font>
        <b val="0"/>
        <i/>
        <strike val="0"/>
        <condense val="0"/>
        <extend val="0"/>
        <outline val="0"/>
        <shadow val="0"/>
        <u val="none"/>
        <vertAlign val="baseline"/>
        <sz val="9"/>
        <color auto="1"/>
        <name val="Calibri"/>
        <scheme val="minor"/>
      </font>
      <fill>
        <patternFill patternType="solid">
          <fgColor indexed="64"/>
          <bgColor rgb="FFFFFF00"/>
        </patternFill>
      </fill>
      <alignment horizontal="center" vertical="center" textRotation="0" wrapText="0" indent="0" justifyLastLine="0" shrinkToFit="0" readingOrder="0"/>
    </dxf>
    <dxf>
      <font>
        <b val="0"/>
        <i/>
        <strike val="0"/>
        <condense val="0"/>
        <extend val="0"/>
        <outline val="0"/>
        <shadow val="0"/>
        <u val="none"/>
        <vertAlign val="baseline"/>
        <sz val="9"/>
        <color auto="1"/>
        <name val="Calibri"/>
        <scheme val="minor"/>
      </font>
      <fill>
        <patternFill patternType="solid">
          <fgColor indexed="64"/>
          <bgColor rgb="FFFFFF00"/>
        </patternFill>
      </fill>
      <alignment horizontal="center" vertical="center" textRotation="0" wrapText="0" indent="0" justifyLastLine="0" shrinkToFit="0" readingOrder="0"/>
    </dxf>
    <dxf>
      <font>
        <b val="0"/>
        <i/>
        <strike val="0"/>
        <condense val="0"/>
        <extend val="0"/>
        <outline val="0"/>
        <shadow val="0"/>
        <u val="none"/>
        <vertAlign val="baseline"/>
        <sz val="9"/>
        <color auto="1"/>
        <name val="Calibri"/>
        <scheme val="minor"/>
      </font>
      <fill>
        <patternFill patternType="solid">
          <fgColor indexed="64"/>
          <bgColor rgb="FFFFFF00"/>
        </patternFill>
      </fill>
      <alignment horizontal="center" vertical="center" textRotation="0" wrapText="0" indent="0" justifyLastLine="0" shrinkToFit="0" readingOrder="0"/>
    </dxf>
    <dxf>
      <font>
        <b val="0"/>
        <i/>
        <strike val="0"/>
        <condense val="0"/>
        <extend val="0"/>
        <outline val="0"/>
        <shadow val="0"/>
        <u val="none"/>
        <vertAlign val="baseline"/>
        <sz val="9"/>
        <color auto="1"/>
        <name val="Calibri"/>
        <scheme val="minor"/>
      </font>
      <fill>
        <patternFill patternType="solid">
          <fgColor indexed="64"/>
          <bgColor rgb="FFFFFF00"/>
        </patternFill>
      </fill>
      <alignment horizontal="center" vertical="center" textRotation="0" wrapText="0" indent="0" justifyLastLine="0" shrinkToFit="0" readingOrder="0"/>
    </dxf>
    <dxf>
      <font>
        <b val="0"/>
        <i/>
        <strike val="0"/>
        <condense val="0"/>
        <extend val="0"/>
        <outline val="0"/>
        <shadow val="0"/>
        <u val="none"/>
        <vertAlign val="baseline"/>
        <sz val="9"/>
        <color auto="1"/>
        <name val="Calibri"/>
        <scheme val="minor"/>
      </font>
      <fill>
        <patternFill patternType="solid">
          <fgColor indexed="64"/>
          <bgColor rgb="FFFFFF00"/>
        </patternFill>
      </fill>
      <alignment horizontal="center" vertical="center" textRotation="0" wrapText="0" indent="0" justifyLastLine="0" shrinkToFit="0" readingOrder="0"/>
    </dxf>
    <dxf>
      <font>
        <b val="0"/>
        <i val="0"/>
        <strike val="0"/>
        <condense val="0"/>
        <extend val="0"/>
        <outline val="0"/>
        <shadow val="0"/>
        <u val="none"/>
        <vertAlign val="baseline"/>
        <sz val="9"/>
        <color auto="1"/>
        <name val="Calibri"/>
        <scheme val="none"/>
      </font>
      <alignment vertical="center" textRotation="0" indent="0" justifyLastLine="0" shrinkToFit="0" readingOrder="0"/>
    </dxf>
    <dxf>
      <font>
        <b/>
        <i val="0"/>
        <strike val="0"/>
        <outline val="0"/>
        <shadow val="0"/>
        <u val="none"/>
        <vertAlign val="baseline"/>
        <sz val="9"/>
        <name val="Calibri"/>
        <scheme val="minor"/>
      </font>
      <alignment horizontal="center" vertical="center" textRotation="0" wrapText="1" indent="0" justifyLastLine="0" shrinkToFit="0" readingOrder="0"/>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gradientFill degree="180">
          <stop position="0">
            <color theme="0"/>
          </stop>
          <stop position="1">
            <color rgb="FF00B050"/>
          </stop>
        </gradientFill>
      </fill>
      <border>
        <left/>
        <right/>
        <top/>
        <bottom/>
        <vertical/>
        <horizontal/>
      </border>
    </dxf>
    <dxf>
      <fill>
        <gradientFill degree="180">
          <stop position="0">
            <color theme="0"/>
          </stop>
          <stop position="1">
            <color rgb="FFFF0000"/>
          </stop>
        </gradientFill>
      </fill>
      <border>
        <left/>
        <right/>
        <top/>
        <bottom/>
        <vertical/>
        <horizontal/>
      </border>
    </dxf>
    <dxf>
      <font>
        <color rgb="FF9C0006"/>
      </font>
    </dxf>
    <dxf>
      <font>
        <color rgb="FF9C0006"/>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00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openxmlformats.org/officeDocument/2006/relationships/customXml" Target="../customXml/item6.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 Id="rId27"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Filannino, Luigi" id="{D9BE4E97-90AD-4F3D-A632-5BB141859441}" userId="S::luigi.filannino@accenture.com::c0e938fb-3489-4a77-be80-a948acb4b9cc" providerId="AD"/>
  <person displayName="Liscio Alessandro" id="{A47EB9B7-EE81-4CDC-AEE0-7E4B0EF0087F}" userId="S::Alessandro.Liscio@cagroupsolutions.it::7e2d7027-1c64-42e6-bff8-ea39c35042a4" providerId="AD"/>
</personList>
</file>

<file path=xl/tables/table1.xml><?xml version="1.0" encoding="utf-8"?>
<table xmlns="http://schemas.openxmlformats.org/spreadsheetml/2006/main" id="1" name="Tabella13" displayName="Tabella13" ref="A17:AE28" totalsRowShown="0" headerRowDxfId="32" dataDxfId="31">
  <autoFilter ref="A17:AE28"/>
  <tableColumns count="31">
    <tableColumn id="1" name="AQ" dataDxfId="30"/>
    <tableColumn id="2" name="OF" dataDxfId="29"/>
    <tableColumn id="3" name="RCF" dataDxfId="28"/>
    <tableColumn id="4" name="RDA" dataDxfId="27"/>
    <tableColumn id="5" name="AUTH" dataDxfId="26"/>
    <tableColumn id="34" name="ORDINE" dataDxfId="25"/>
    <tableColumn id="6" name="Data ricezione proposta / approvazione rich. Fondi" dataDxfId="24"/>
    <tableColumn id="8" name="Fornitore" dataDxfId="23"/>
    <tableColumn id="11" name="Macro attività" dataDxfId="22"/>
    <tableColumn id="9" name="Descrizione attività" dataDxfId="21"/>
    <tableColumn id="10" name="CAPEX / OPEX" dataDxfId="20"/>
    <tableColumn id="12" name="Quarter in cui spesare l'attività" dataDxfId="19"/>
    <tableColumn id="13" name="Data inizio attività" dataDxfId="18"/>
    <tableColumn id="29" name="Data fine attività" dataDxfId="17"/>
    <tableColumn id="15" name="Ambito" dataDxfId="16"/>
    <tableColumn id="16" name="Tipologia" dataDxfId="15"/>
    <tableColumn id="17" name="NR. FTE" dataDxfId="14"/>
    <tableColumn id="19" name="% Allocazione" dataDxfId="13"/>
    <tableColumn id="26" name="Colonna3" dataDxfId="12"/>
    <tableColumn id="24" name="Colonna4" dataDxfId="11"/>
    <tableColumn id="7" name="Colonna5" dataDxfId="10"/>
    <tableColumn id="28" name="Numero Mesi" dataDxfId="9"/>
    <tableColumn id="14" name="GG. Lavorativi" dataDxfId="8"/>
    <tableColumn id="18" name="Quotazione giornaliera" dataDxfId="7"/>
    <tableColumn id="20" name="Importo i.e." dataDxfId="6">
      <calculatedColumnFormula>ROUNDUP(Q18*R18*V18*W18*X18,-2)</calculatedColumnFormula>
    </tableColumn>
    <tableColumn id="21" name="Importo _x000a_i.i" dataDxfId="5">
      <calculatedColumnFormula>Tabella13[[#This Row],[Importo i.e.]]*1.22</calculatedColumnFormula>
    </tableColumn>
    <tableColumn id="22" name="Accordo Quadro _x000a_Y / N" dataDxfId="4"/>
    <tableColumn id="23" name="ID Richiesta fondi" dataDxfId="3"/>
    <tableColumn id="25" name="ID RdA" dataDxfId="2"/>
    <tableColumn id="27" name="Gara Y/N" dataDxfId="1"/>
    <tableColumn id="30" name="Not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6" dT="2026-01-20T16:41:07.54" personId="{A47EB9B7-EE81-4CDC-AEE0-7E4B0EF0087F}" id="{3BD8D781-5A85-4DC7-AAC6-005F4268DB30}">
    <text>Usare questa voce per quotare le CPU relative ai POD, costa di meno (Info ricevuta da Pepino)</text>
  </threadedComment>
  <threadedComment ref="A7" dT="2026-01-20T16:41:07.54" personId="{A47EB9B7-EE81-4CDC-AEE0-7E4B0EF0087F}" id="{83D040B0-9DD9-4386-B01A-C9ADD2B1D499}">
    <text>Usare questa voce per quotare le CPU relative ai POD, costa di meno (Info ricevuta da Pepino)</text>
  </threadedComment>
  <threadedComment ref="A8" dT="2026-01-20T16:41:07.54" personId="{A47EB9B7-EE81-4CDC-AEE0-7E4B0EF0087F}" id="{46CE9074-0ABB-4DD9-B296-DE298AA6BA96}">
    <text>Usare questa voce per quotare le CPU relative ai POD, costa di meno (Info ricevuta da Pepino)</text>
  </threadedComment>
  <threadedComment ref="A9" dT="2026-01-21T14:37:56.33" personId="{A47EB9B7-EE81-4CDC-AEE0-7E4B0EF0087F}" id="{6D1FF02B-9660-4B8B-8BA2-A5A708FD2EE8}">
    <text>Usare solo per prod e inserire il medesimo spazio disco di Storage SSD</text>
  </threadedComment>
  <threadedComment ref="A10" dT="2026-01-21T14:37:39.15" personId="{A47EB9B7-EE81-4CDC-AEE0-7E4B0EF0087F}" id="{A4190610-D058-4A10-8E43-8220D607295F}">
    <text xml:space="preserve">Usare solo per prod e inserire il medesimo spazio disco di Storage SSD*5
</text>
  </threadedComment>
  <threadedComment ref="A11" dT="2026-01-21T14:36:07.72" personId="{A47EB9B7-EE81-4CDC-AEE0-7E4B0EF0087F}" id="{36622414-94B9-4059-A5DE-CCE06AC8A49C}">
    <text>Usare questa voce per quotare spazio storage di coll, par, prod. SOLO per prod riportare il medesimo spazio necessario anche su Backup - Front-end e lo spazio necessario *5 su Backup - Back-end (perché prod ha Backup con Commvault). Inoltre, le VM di base nascono con 40GB di disco già incluso ma se serve più spazio (min. 100GB) va sempre quotato (preferibile quotare sempre)</text>
  </threadedComment>
  <threadedComment ref="A12" dT="2026-01-21T14:28:14.55" personId="{A47EB9B7-EE81-4CDC-AEE0-7E4B0EF0087F}" id="{86B958CD-30E6-45B5-BB15-DDA42A977244}">
    <text>NON USARE questo campo</text>
  </threadedComment>
</ThreadedComments>
</file>

<file path=xl/threadedComments/threadedComment2.xml><?xml version="1.0" encoding="utf-8"?>
<ThreadedComments xmlns="http://schemas.microsoft.com/office/spreadsheetml/2018/threadedcomments" xmlns:x="http://schemas.openxmlformats.org/spreadsheetml/2006/main">
  <threadedComment ref="F3" dT="2026-01-21T09:11:30.74" personId="{A47EB9B7-EE81-4CDC-AEE0-7E4B0EF0087F}" id="{F4078211-6AFC-423D-94D3-1CF17F6256E3}">
    <text>Indicare, se l’informazione è nota, la durata del progetto in mesi</text>
  </threadedComment>
  <threadedComment ref="C23" dT="2026-01-21T09:14:43.73" personId="{A47EB9B7-EE81-4CDC-AEE0-7E4B0EF0087F}" id="{5CD6A9C1-8679-4115-8053-2DB1CE0DD260}">
    <text>Condividere questa stima se l’informazione sui mesi di progetto è nota</text>
  </threadedComment>
</ThreadedComments>
</file>

<file path=xl/threadedComments/threadedComment3.xml><?xml version="1.0" encoding="utf-8"?>
<ThreadedComments xmlns="http://schemas.microsoft.com/office/spreadsheetml/2018/threadedcomments" xmlns:x="http://schemas.openxmlformats.org/spreadsheetml/2006/main">
  <threadedComment ref="G2" dT="2025-05-12T13:29:54.06" personId="{D9BE4E97-90AD-4F3D-A632-5BB141859441}" id="{4D3146F5-501F-4DDE-9247-1A089711CDCB}">
    <text xml:space="preserve">Spese in conto capitale: costi di acquisto o implementazione iniziale di asset IT durevoli (hardware, licenze perpetue, setup iniziale). Vengono ammortizzati nel tempo. </text>
  </threadedComment>
  <threadedComment ref="I2" dT="2026-03-06T11:23:52.28" personId="{A47EB9B7-EE81-4CDC-AEE0-7E4B0EF0087F}" id="{1C7D4914-21F0-4D88-9DA6-5AA608626C21}">
    <text>Riportare, se gli capEx CTO non sono noti, la macrostima evincibile dallo sheet Fasce Budget CTO</text>
  </threadedComment>
  <threadedComment ref="G11" dT="2025-05-12T13:29:31.38" personId="{D9BE4E97-90AD-4F3D-A632-5BB141859441}" id="{4F0FDAE1-7110-44CF-BFD4-F393E54C69CA}">
    <text>Spese operative: costi ricorrenti per il funzionamento quotidiano (subscription, supporto, personale, monitoraggio). Sono deducibili subito.</text>
  </threadedComment>
  <threadedComment ref="I11" dT="2026-01-21T09:16:42.85" personId="{A47EB9B7-EE81-4CDC-AEE0-7E4B0EF0087F}" id="{BB6992BE-0F4B-4062-87D6-92A8360123C4}">
    <text>Riportare, se gli opEx CTO non sono noti, la macrostima evincibile dallo sheet Fasce Budget CTO</text>
  </threadedComment>
  <threadedComment ref="J26" dT="2026-02-10T13:46:26.42" personId="{A47EB9B7-EE81-4CDC-AEE0-7E4B0EF0087F}" id="{D2F5CD36-9FD1-4645-8EBA-16BEB9FCE64D}">
    <text>Prevedere questa voce per progetti a budget ridotto ma che richiedono un supporto per l’apertura RFC (in genere 10K i.i.). Per progetti con budget elevato considerare una quota per apertura RFC all’interno della macro-attività Provisioning-Configuration</text>
  </threadedComment>
</ThreadedComments>
</file>

<file path=xl/threadedComments/threadedComment4.xml><?xml version="1.0" encoding="utf-8"?>
<ThreadedComments xmlns="http://schemas.microsoft.com/office/spreadsheetml/2018/threadedcomments" xmlns:x="http://schemas.openxmlformats.org/spreadsheetml/2006/main">
  <threadedComment ref="E6" dT="2026-02-10T14:16:17.83" personId="{A47EB9B7-EE81-4CDC-AEE0-7E4B0EF0087F}" id="{C62B0DA4-E845-4C8F-B109-576BBBFB5B06}">
    <text>Es. quotazione standard</text>
  </threadedComment>
  <threadedComment ref="E12" dT="2026-02-10T14:16:28.64" personId="{A47EB9B7-EE81-4CDC-AEE0-7E4B0EF0087F}" id="{C1C2134B-D4A2-450B-BD46-F092B6399360}">
    <text>Es. quotazione standard</text>
  </threadedComment>
  <threadedComment ref="B16" dT="2026-03-27T10:16:22.27" personId="{A47EB9B7-EE81-4CDC-AEE0-7E4B0EF0087F}" id="{67818461-ED3E-4471-95BE-54152C2EC0CC}">
    <text>Stima si fa sempre a 0,5 FTE</text>
  </threadedComment>
  <threadedComment ref="A25" dT="2026-03-27T10:34:13.96" personId="{A47EB9B7-EE81-4CDC-AEE0-7E4B0EF0087F}" id="{421DB396-B5E8-4F8E-A32D-7FB0DE96B0E7}">
    <text>Proposto da Reply per Piattaforma Reti Terze</text>
  </threadedComment>
  <threadedComment ref="A26" dT="2026-03-27T10:34:06.00" personId="{A47EB9B7-EE81-4CDC-AEE0-7E4B0EF0087F}" id="{744BFCFA-3717-4E3C-8470-B62944A150E7}">
    <text>Proposto da Reply per Piattaforma Reti Terze e su Data Platform</text>
  </threadedComment>
  <threadedComment ref="A27" dT="2026-03-27T10:34:50.46" personId="{A47EB9B7-EE81-4CDC-AEE0-7E4B0EF0087F}" id="{5C8C5C3A-A63E-49C5-8F12-B97534956E36}">
    <text>Proposto da Reply per Data Platform</text>
  </threadedComment>
  <threadedComment ref="E43" dT="2026-02-10T14:16:28.64" personId="{A47EB9B7-EE81-4CDC-AEE0-7E4B0EF0087F}" id="{9B349D65-5A3D-435A-8590-317CE1F61902}">
    <text>Es. quotazione standard</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2"/>
  <sheetViews>
    <sheetView workbookViewId="0">
      <selection activeCell="E2" sqref="E2"/>
    </sheetView>
  </sheetViews>
  <sheetFormatPr defaultRowHeight="14.45"/>
  <sheetData>
    <row r="2" spans="2:8">
      <c r="B2" t="s">
        <v>0</v>
      </c>
      <c r="E2" s="33">
        <v>3560</v>
      </c>
      <c r="F2" t="s">
        <v>1</v>
      </c>
      <c r="H2" t="s">
        <v>2</v>
      </c>
    </row>
  </sheetData>
  <pageMargins left="0.7" right="0.7" top="0.75" bottom="0.75" header="0.3" footer="0.3"/>
  <headerFooter>
    <oddFooter>&amp;C_x000D_&amp;1#&amp;"Aptos"&amp;10&amp;K3CB371 Crédit Agricole Italia - Pubblico</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selection activeCell="C14" sqref="C14"/>
    </sheetView>
  </sheetViews>
  <sheetFormatPr defaultRowHeight="14.45"/>
  <cols>
    <col min="1" max="1" width="12.28515625" customWidth="1"/>
    <col min="2" max="2" width="95.140625" bestFit="1" customWidth="1"/>
    <col min="3" max="3" width="15.28515625" bestFit="1" customWidth="1"/>
  </cols>
  <sheetData>
    <row r="1" spans="1:3">
      <c r="A1" s="17" t="s">
        <v>3</v>
      </c>
      <c r="B1" s="17" t="s">
        <v>4</v>
      </c>
      <c r="C1" s="17" t="s">
        <v>5</v>
      </c>
    </row>
    <row r="2" spans="1:3">
      <c r="A2" s="339">
        <v>46084</v>
      </c>
      <c r="B2" t="s">
        <v>6</v>
      </c>
      <c r="C2" t="s">
        <v>7</v>
      </c>
    </row>
    <row r="3" spans="1:3">
      <c r="A3" s="339">
        <v>46084</v>
      </c>
      <c r="B3" t="s">
        <v>8</v>
      </c>
      <c r="C3" t="s">
        <v>7</v>
      </c>
    </row>
    <row r="4" spans="1:3">
      <c r="A4" s="339">
        <v>46084</v>
      </c>
      <c r="B4" t="s">
        <v>9</v>
      </c>
      <c r="C4" t="s">
        <v>7</v>
      </c>
    </row>
    <row r="5" spans="1:3">
      <c r="A5" s="339">
        <v>46084</v>
      </c>
      <c r="B5" t="s">
        <v>10</v>
      </c>
      <c r="C5" t="s">
        <v>7</v>
      </c>
    </row>
    <row r="6" spans="1:3">
      <c r="A6" s="339">
        <v>46085</v>
      </c>
      <c r="B6" t="s">
        <v>11</v>
      </c>
      <c r="C6" t="s">
        <v>7</v>
      </c>
    </row>
    <row r="7" spans="1:3">
      <c r="A7" s="339">
        <v>46087</v>
      </c>
      <c r="B7" t="s">
        <v>12</v>
      </c>
      <c r="C7" t="s">
        <v>13</v>
      </c>
    </row>
    <row r="8" spans="1:3" ht="43.15">
      <c r="A8" s="339">
        <v>46093</v>
      </c>
      <c r="B8" s="316" t="s">
        <v>14</v>
      </c>
      <c r="C8" t="s">
        <v>7</v>
      </c>
    </row>
    <row r="9" spans="1:3">
      <c r="A9" s="339">
        <v>46108</v>
      </c>
      <c r="B9" t="s">
        <v>15</v>
      </c>
      <c r="C9" t="s">
        <v>13</v>
      </c>
    </row>
    <row r="10" spans="1:3">
      <c r="A10" s="339">
        <v>46108</v>
      </c>
      <c r="B10" t="s">
        <v>16</v>
      </c>
      <c r="C10" t="s">
        <v>13</v>
      </c>
    </row>
    <row r="11" spans="1:3">
      <c r="A11" s="339">
        <v>46125</v>
      </c>
      <c r="B11" t="s">
        <v>17</v>
      </c>
      <c r="C11" t="s">
        <v>13</v>
      </c>
    </row>
    <row r="12" spans="1:3">
      <c r="A12" s="339">
        <v>46126</v>
      </c>
      <c r="B12" t="s">
        <v>18</v>
      </c>
      <c r="C12" t="s">
        <v>13</v>
      </c>
    </row>
    <row r="13" spans="1:3">
      <c r="A13" s="339">
        <v>46127</v>
      </c>
      <c r="B13" t="s">
        <v>19</v>
      </c>
      <c r="C13" t="s">
        <v>20</v>
      </c>
    </row>
  </sheetData>
  <pageMargins left="0.7" right="0.7" top="0.75" bottom="0.75" header="0.3" footer="0.3"/>
  <pageSetup paperSize="9" orientation="portrait" verticalDpi="0" r:id="rId1"/>
  <headerFooter>
    <oddFooter>&amp;C_x000D_&amp;1#&amp;"Aptos"&amp;10&amp;K3CB371 Crédit Agricole Italia - Pubblico</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94"/>
  <sheetViews>
    <sheetView topLeftCell="A18" zoomScale="85" zoomScaleNormal="85" workbookViewId="0">
      <selection activeCell="I57" sqref="I57"/>
    </sheetView>
  </sheetViews>
  <sheetFormatPr defaultColWidth="9.28515625" defaultRowHeight="14.45"/>
  <cols>
    <col min="1" max="1" width="56.7109375" customWidth="1"/>
    <col min="2" max="2" width="7.140625" style="46" bestFit="1" customWidth="1"/>
    <col min="3" max="3" width="13.5703125" style="46" customWidth="1"/>
    <col min="4" max="4" width="8.140625" style="46" customWidth="1"/>
    <col min="5" max="5" width="5.42578125" style="46" bestFit="1" customWidth="1"/>
    <col min="6" max="6" width="65" bestFit="1" customWidth="1"/>
    <col min="7" max="7" width="10.7109375" customWidth="1"/>
    <col min="8" max="8" width="8.85546875" style="46" bestFit="1" customWidth="1"/>
    <col min="9" max="9" width="14.42578125" customWidth="1"/>
    <col min="10" max="14" width="12.85546875" bestFit="1" customWidth="1"/>
    <col min="15" max="15" width="16.42578125" style="46" customWidth="1"/>
    <col min="16" max="16" width="11.42578125" customWidth="1"/>
    <col min="17" max="17" width="4.140625" bestFit="1" customWidth="1"/>
    <col min="18" max="18" width="5.140625" bestFit="1" customWidth="1"/>
  </cols>
  <sheetData>
    <row r="1" spans="1:18" ht="15" customHeight="1">
      <c r="A1" s="352" t="s">
        <v>21</v>
      </c>
      <c r="B1" s="169" t="s">
        <v>22</v>
      </c>
      <c r="C1" s="353" t="s">
        <v>23</v>
      </c>
      <c r="D1" s="353"/>
      <c r="E1" s="353"/>
      <c r="F1" s="348" t="s">
        <v>24</v>
      </c>
      <c r="G1" s="142"/>
      <c r="H1" s="348"/>
      <c r="I1" s="348" t="s">
        <v>25</v>
      </c>
      <c r="J1" s="348" t="s">
        <v>26</v>
      </c>
      <c r="K1" s="348" t="s">
        <v>27</v>
      </c>
      <c r="L1" s="348" t="s">
        <v>28</v>
      </c>
      <c r="M1" s="348" t="s">
        <v>29</v>
      </c>
      <c r="N1" s="348" t="s">
        <v>30</v>
      </c>
      <c r="O1" s="346" t="s">
        <v>31</v>
      </c>
      <c r="Q1" t="s">
        <v>32</v>
      </c>
      <c r="R1">
        <v>1.22</v>
      </c>
    </row>
    <row r="2" spans="1:18">
      <c r="A2" s="350"/>
      <c r="B2" s="170" t="s">
        <v>33</v>
      </c>
      <c r="C2" s="351" t="s">
        <v>34</v>
      </c>
      <c r="D2" s="351" t="s">
        <v>35</v>
      </c>
      <c r="E2" s="351" t="s">
        <v>36</v>
      </c>
      <c r="F2" s="349"/>
      <c r="G2" s="135" t="s">
        <v>37</v>
      </c>
      <c r="H2" s="349" t="s">
        <v>38</v>
      </c>
      <c r="I2" s="349"/>
      <c r="J2" s="349"/>
      <c r="K2" s="349"/>
      <c r="L2" s="349"/>
      <c r="M2" s="349"/>
      <c r="N2" s="349"/>
      <c r="O2" s="347"/>
    </row>
    <row r="3" spans="1:18">
      <c r="A3" s="350"/>
      <c r="B3" s="170" t="s">
        <v>39</v>
      </c>
      <c r="C3" s="351"/>
      <c r="D3" s="351"/>
      <c r="E3" s="351" t="s">
        <v>40</v>
      </c>
      <c r="F3" s="349"/>
      <c r="G3" s="135"/>
      <c r="H3" s="349"/>
      <c r="I3" s="349"/>
      <c r="J3" s="349"/>
      <c r="K3" s="349"/>
      <c r="L3" s="349"/>
      <c r="M3" s="349"/>
      <c r="N3" s="349"/>
      <c r="O3" s="347"/>
    </row>
    <row r="4" spans="1:18" ht="15" thickBot="1">
      <c r="A4" s="180" t="s">
        <v>41</v>
      </c>
      <c r="B4" s="171"/>
      <c r="C4" s="103"/>
      <c r="D4" s="103"/>
      <c r="E4" s="103"/>
      <c r="F4" s="102"/>
      <c r="G4" s="161"/>
      <c r="H4" s="102"/>
      <c r="I4" s="102"/>
      <c r="J4" s="102"/>
      <c r="K4" s="102"/>
      <c r="L4" s="102"/>
      <c r="M4" s="102"/>
      <c r="N4" s="102"/>
      <c r="O4" s="162"/>
    </row>
    <row r="5" spans="1:18">
      <c r="A5" s="78" t="s">
        <v>42</v>
      </c>
      <c r="B5" s="172" t="s">
        <v>22</v>
      </c>
      <c r="C5" s="79">
        <v>4</v>
      </c>
      <c r="D5" s="79">
        <v>16</v>
      </c>
      <c r="E5" s="80"/>
      <c r="F5" s="81" t="s">
        <v>43</v>
      </c>
      <c r="G5" s="158"/>
      <c r="H5" s="159">
        <v>0</v>
      </c>
      <c r="I5" s="82">
        <f>ACN!H4*'ACN Costo Infra'!$H$5*$R$1</f>
        <v>0</v>
      </c>
      <c r="J5" s="82">
        <f>ACN!I4*'ACN Costo Infra'!$H$5*$R$1</f>
        <v>0</v>
      </c>
      <c r="K5" s="82">
        <f>ACN!J4*'ACN Costo Infra'!$H$5*$R$1</f>
        <v>0</v>
      </c>
      <c r="L5" s="82">
        <f>ACN!K4*'ACN Costo Infra'!$H$5*$R$1</f>
        <v>0</v>
      </c>
      <c r="M5" s="82">
        <f>ACN!L4*'ACN Costo Infra'!$H$5*$R$1</f>
        <v>0</v>
      </c>
      <c r="N5" s="82">
        <f>ACN!M4*'ACN Costo Infra'!$H$5*$R$1</f>
        <v>0</v>
      </c>
      <c r="O5" s="160">
        <f t="shared" ref="O5:O6" si="0">SUM(I5:N5)</f>
        <v>0</v>
      </c>
      <c r="P5" s="100"/>
      <c r="Q5" s="100"/>
    </row>
    <row r="6" spans="1:18">
      <c r="A6" s="75" t="s">
        <v>44</v>
      </c>
      <c r="B6" s="125" t="s">
        <v>22</v>
      </c>
      <c r="C6" s="68">
        <v>8</v>
      </c>
      <c r="D6" s="68">
        <v>32</v>
      </c>
      <c r="E6" s="69"/>
      <c r="F6" s="70" t="s">
        <v>43</v>
      </c>
      <c r="G6" s="136"/>
      <c r="H6" s="159">
        <v>0</v>
      </c>
      <c r="I6" s="82">
        <f>ACN!H5*'ACN Costo Infra'!$H$6*$R$1</f>
        <v>0</v>
      </c>
      <c r="J6" s="82">
        <f>ACN!I5*'ACN Costo Infra'!$H$6*$R$1</f>
        <v>0</v>
      </c>
      <c r="K6" s="82">
        <f>ACN!J5*'ACN Costo Infra'!$H$6*$R$1</f>
        <v>0</v>
      </c>
      <c r="L6" s="82">
        <f>ACN!K5*'ACN Costo Infra'!$H$6*$R$1</f>
        <v>0</v>
      </c>
      <c r="M6" s="82">
        <f>ACN!L5*'ACN Costo Infra'!$H$6*$R$1</f>
        <v>0</v>
      </c>
      <c r="N6" s="82">
        <f>ACN!M5*'ACN Costo Infra'!$H$6*$R$1</f>
        <v>0</v>
      </c>
      <c r="O6" s="143">
        <f t="shared" si="0"/>
        <v>0</v>
      </c>
      <c r="P6" s="100"/>
    </row>
    <row r="7" spans="1:18">
      <c r="A7" s="75" t="s">
        <v>45</v>
      </c>
      <c r="B7" s="125" t="s">
        <v>22</v>
      </c>
      <c r="C7" s="68">
        <v>16</v>
      </c>
      <c r="D7" s="68">
        <v>32</v>
      </c>
      <c r="E7" s="69"/>
      <c r="F7" s="70" t="s">
        <v>43</v>
      </c>
      <c r="G7" s="136"/>
      <c r="H7" s="159">
        <v>1</v>
      </c>
      <c r="I7" s="43">
        <f>ACN!H5*'ACN Costo Infra'!$H$7*$R$1</f>
        <v>1051.7375999999999</v>
      </c>
      <c r="J7" s="43">
        <f>ACN!I5*'ACN Costo Infra'!$H$7*$R$1</f>
        <v>972.7059999999999</v>
      </c>
      <c r="K7" s="43">
        <f>ACN!J5*'ACN Costo Infra'!$H$7*$R$1</f>
        <v>926.80959999999993</v>
      </c>
      <c r="L7" s="43">
        <f>ACN!K5*'ACN Costo Infra'!$H$7*$R$1</f>
        <v>898.39580000000001</v>
      </c>
      <c r="M7" s="43">
        <f>ACN!L5*'ACN Costo Infra'!$H$7*$R$1</f>
        <v>884.80499999999995</v>
      </c>
      <c r="N7" s="43">
        <f>ACN!M5*'ACN Costo Infra'!$H$7*$R$1</f>
        <v>884.80499999999995</v>
      </c>
      <c r="O7" s="143">
        <f t="shared" ref="O7" si="1">SUM(I7:N7)</f>
        <v>5619.259</v>
      </c>
      <c r="P7" s="100"/>
    </row>
    <row r="8" spans="1:18">
      <c r="A8" s="75" t="s">
        <v>46</v>
      </c>
      <c r="B8" s="125" t="s">
        <v>22</v>
      </c>
      <c r="C8" s="68">
        <v>16</v>
      </c>
      <c r="D8" s="68">
        <v>32</v>
      </c>
      <c r="E8" s="69"/>
      <c r="F8" s="70" t="s">
        <v>43</v>
      </c>
      <c r="G8" s="136"/>
      <c r="H8" s="159">
        <v>2</v>
      </c>
      <c r="I8" s="43">
        <f>ACN!H5*'ACN Costo Infra'!$H$8*$R$1</f>
        <v>2103.4751999999999</v>
      </c>
      <c r="J8" s="43">
        <f>ACN!I5*'ACN Costo Infra'!$H$8*$R$1</f>
        <v>1945.4119999999998</v>
      </c>
      <c r="K8" s="43">
        <f>ACN!J5*'ACN Costo Infra'!$H$8*$R$1</f>
        <v>1853.6191999999999</v>
      </c>
      <c r="L8" s="43">
        <f>ACN!K5*'ACN Costo Infra'!$H$8*$R$1</f>
        <v>1796.7916</v>
      </c>
      <c r="M8" s="43">
        <f>ACN!L5*'ACN Costo Infra'!$H$8*$R$1</f>
        <v>1769.61</v>
      </c>
      <c r="N8" s="43">
        <f>ACN!M5*'ACN Costo Infra'!$H$8*$R$1</f>
        <v>1769.61</v>
      </c>
      <c r="O8" s="143">
        <f t="shared" ref="O8:O24" si="2">SUM(I8:N8)</f>
        <v>11238.518</v>
      </c>
      <c r="P8" s="100"/>
    </row>
    <row r="9" spans="1:18">
      <c r="A9" s="75" t="s">
        <v>47</v>
      </c>
      <c r="B9" s="125" t="s">
        <v>22</v>
      </c>
      <c r="C9" s="68"/>
      <c r="D9" s="68"/>
      <c r="E9" s="69">
        <v>1</v>
      </c>
      <c r="F9" s="70" t="s">
        <v>48</v>
      </c>
      <c r="G9" s="136"/>
      <c r="H9" s="138">
        <v>2.2000000000000002</v>
      </c>
      <c r="I9" s="43">
        <f>ACN!H6*'ACN Costo Infra'!$H$9*$R$1</f>
        <v>5862.9832800000004</v>
      </c>
      <c r="J9" s="43">
        <f>ACN!I6*'ACN Costo Infra'!$H$9*S1</f>
        <v>0</v>
      </c>
      <c r="K9" s="43">
        <f>ACN!J6*'ACN Costo Infra'!$H$9*T1</f>
        <v>0</v>
      </c>
      <c r="L9" s="43">
        <f>ACN!K6*'ACN Costo Infra'!$H$9*U1</f>
        <v>0</v>
      </c>
      <c r="M9" s="43">
        <f>ACN!L6*'ACN Costo Infra'!$H$9*V1</f>
        <v>0</v>
      </c>
      <c r="N9" s="43">
        <f>ACN!M6*'ACN Costo Infra'!$H$9*W1</f>
        <v>0</v>
      </c>
      <c r="O9" s="143">
        <f t="shared" si="2"/>
        <v>5862.9832800000004</v>
      </c>
      <c r="P9" s="100"/>
    </row>
    <row r="10" spans="1:18">
      <c r="A10" s="75" t="s">
        <v>49</v>
      </c>
      <c r="B10" s="125" t="s">
        <v>22</v>
      </c>
      <c r="C10" s="68"/>
      <c r="D10" s="68"/>
      <c r="E10" s="69" t="s">
        <v>50</v>
      </c>
      <c r="F10" s="70" t="s">
        <v>51</v>
      </c>
      <c r="G10" s="136"/>
      <c r="H10" s="138">
        <v>11</v>
      </c>
      <c r="I10" s="43">
        <f>ACN!H7*'ACN Costo Infra'!$H$10*R1</f>
        <v>2704.8010000000004</v>
      </c>
      <c r="J10" s="43">
        <f>ACN!I7*'ACN Costo Infra'!$H$10*S1</f>
        <v>0</v>
      </c>
      <c r="K10" s="43">
        <f>ACN!J7*'ACN Costo Infra'!$H$10*T1</f>
        <v>0</v>
      </c>
      <c r="L10" s="43">
        <f>ACN!K7*'ACN Costo Infra'!$H$10*U1</f>
        <v>0</v>
      </c>
      <c r="M10" s="43">
        <f>ACN!L7*'ACN Costo Infra'!$H$10*V1</f>
        <v>0</v>
      </c>
      <c r="N10" s="43">
        <f>ACN!M7*'ACN Costo Infra'!$H$10*W1</f>
        <v>0</v>
      </c>
      <c r="O10" s="143">
        <f t="shared" si="2"/>
        <v>2704.8010000000004</v>
      </c>
      <c r="P10" s="100"/>
    </row>
    <row r="11" spans="1:18">
      <c r="A11" s="75" t="s">
        <v>52</v>
      </c>
      <c r="B11" s="125" t="s">
        <v>22</v>
      </c>
      <c r="C11" s="68"/>
      <c r="D11" s="68"/>
      <c r="E11" s="69">
        <v>1</v>
      </c>
      <c r="F11" s="70" t="s">
        <v>53</v>
      </c>
      <c r="G11" s="136"/>
      <c r="H11" s="138">
        <v>0</v>
      </c>
      <c r="I11" s="43">
        <f>ACN!H8*'ACN Costo Infra'!$H$11*$R$1</f>
        <v>0</v>
      </c>
      <c r="J11" s="43">
        <f>ACN!I8*'ACN Costo Infra'!$H$11*S1</f>
        <v>0</v>
      </c>
      <c r="K11" s="43">
        <f>ACN!J8*'ACN Costo Infra'!$H$11*T1</f>
        <v>0</v>
      </c>
      <c r="L11" s="43">
        <f>ACN!K8*'ACN Costo Infra'!$H$11*U1</f>
        <v>0</v>
      </c>
      <c r="M11" s="43">
        <f>ACN!L8*'ACN Costo Infra'!$H$11*V1</f>
        <v>0</v>
      </c>
      <c r="N11" s="43">
        <f>ACN!M8*'ACN Costo Infra'!$H$11*W1</f>
        <v>0</v>
      </c>
      <c r="O11" s="143">
        <f t="shared" si="2"/>
        <v>0</v>
      </c>
      <c r="P11" s="100"/>
    </row>
    <row r="12" spans="1:18">
      <c r="A12" s="75" t="s">
        <v>54</v>
      </c>
      <c r="B12" s="125" t="s">
        <v>22</v>
      </c>
      <c r="C12" s="68"/>
      <c r="D12" s="68"/>
      <c r="E12" s="69">
        <v>1</v>
      </c>
      <c r="F12" s="70" t="s">
        <v>55</v>
      </c>
      <c r="G12" s="136"/>
      <c r="H12" s="137">
        <v>0</v>
      </c>
      <c r="I12" s="43">
        <f>ACN!H9*'ACN Costo Infra'!$H$12*R1</f>
        <v>0</v>
      </c>
      <c r="J12" s="43">
        <f>ACN!I9*'ACN Costo Infra'!$H$12*S1</f>
        <v>0</v>
      </c>
      <c r="K12" s="43">
        <f>ACN!J9*'ACN Costo Infra'!$H$12*T1</f>
        <v>0</v>
      </c>
      <c r="L12" s="43">
        <f>ACN!K9*'ACN Costo Infra'!$H$12*U1</f>
        <v>0</v>
      </c>
      <c r="M12" s="43">
        <f>ACN!L9*'ACN Costo Infra'!$H$12*V1</f>
        <v>0</v>
      </c>
      <c r="N12" s="43">
        <f>ACN!M9*'ACN Costo Infra'!$H$12*W1</f>
        <v>0</v>
      </c>
      <c r="O12" s="143">
        <f t="shared" si="2"/>
        <v>0</v>
      </c>
    </row>
    <row r="13" spans="1:18">
      <c r="A13" s="75" t="s">
        <v>56</v>
      </c>
      <c r="B13" s="125" t="s">
        <v>22</v>
      </c>
      <c r="C13" s="68"/>
      <c r="D13" s="68"/>
      <c r="E13" s="69"/>
      <c r="F13" s="70" t="s">
        <v>57</v>
      </c>
      <c r="G13" s="136"/>
      <c r="H13" s="137">
        <v>0</v>
      </c>
      <c r="I13" s="43">
        <f>ACN!H11*'ACN Costo Infra'!$H$13*R1</f>
        <v>0</v>
      </c>
      <c r="J13" s="43">
        <f>ACN!I11*'ACN Costo Infra'!$H$13*S1</f>
        <v>0</v>
      </c>
      <c r="K13" s="43">
        <f>ACN!J11*'ACN Costo Infra'!$H$13*T1</f>
        <v>0</v>
      </c>
      <c r="L13" s="43">
        <f>ACN!K11*'ACN Costo Infra'!$H$13*U1</f>
        <v>0</v>
      </c>
      <c r="M13" s="43">
        <f>ACN!L11*'ACN Costo Infra'!$H$13*V1</f>
        <v>0</v>
      </c>
      <c r="N13" s="43">
        <f>ACN!M11*'ACN Costo Infra'!$H$13*W1</f>
        <v>0</v>
      </c>
      <c r="O13" s="143">
        <f t="shared" si="2"/>
        <v>0</v>
      </c>
    </row>
    <row r="14" spans="1:18">
      <c r="A14" s="75" t="s">
        <v>58</v>
      </c>
      <c r="B14" s="125" t="s">
        <v>22</v>
      </c>
      <c r="C14" s="68"/>
      <c r="D14" s="68"/>
      <c r="E14" s="69"/>
      <c r="F14" s="70" t="s">
        <v>57</v>
      </c>
      <c r="G14" s="136"/>
      <c r="H14" s="137">
        <v>0</v>
      </c>
      <c r="I14" s="43">
        <f>ACN!H12*'ACN Costo Infra'!$H$14*R1</f>
        <v>0</v>
      </c>
      <c r="J14" s="43">
        <f>ACN!I12*'ACN Costo Infra'!$H$14*S1</f>
        <v>0</v>
      </c>
      <c r="K14" s="43">
        <f>ACN!J12*'ACN Costo Infra'!$H$14*T1</f>
        <v>0</v>
      </c>
      <c r="L14" s="43">
        <f>ACN!K12*'ACN Costo Infra'!$H$14*U1</f>
        <v>0</v>
      </c>
      <c r="M14" s="43">
        <f>ACN!L12*'ACN Costo Infra'!$H$14*V1</f>
        <v>0</v>
      </c>
      <c r="N14" s="43">
        <f>ACN!M12*'ACN Costo Infra'!$H$14*W1</f>
        <v>0</v>
      </c>
      <c r="O14" s="143">
        <f t="shared" si="2"/>
        <v>0</v>
      </c>
    </row>
    <row r="15" spans="1:18">
      <c r="A15" s="75" t="s">
        <v>59</v>
      </c>
      <c r="B15" s="125" t="s">
        <v>22</v>
      </c>
      <c r="C15" s="68"/>
      <c r="D15" s="68"/>
      <c r="E15" s="69"/>
      <c r="F15" s="70" t="s">
        <v>57</v>
      </c>
      <c r="G15" s="136"/>
      <c r="H15" s="137">
        <v>0</v>
      </c>
      <c r="I15" s="43">
        <f>ACN!H13*'ACN Costo Infra'!$H$15*R1</f>
        <v>0</v>
      </c>
      <c r="J15" s="43">
        <f>ACN!I13*'ACN Costo Infra'!$H$15*S1</f>
        <v>0</v>
      </c>
      <c r="K15" s="43">
        <f>ACN!J13*'ACN Costo Infra'!$H$15*T1</f>
        <v>0</v>
      </c>
      <c r="L15" s="43">
        <f>ACN!K13*'ACN Costo Infra'!$H$15*U1</f>
        <v>0</v>
      </c>
      <c r="M15" s="43">
        <f>ACN!L13*'ACN Costo Infra'!$H$15*V1</f>
        <v>0</v>
      </c>
      <c r="N15" s="43">
        <f>ACN!M13*'ACN Costo Infra'!$H$15*W1</f>
        <v>0</v>
      </c>
      <c r="O15" s="143">
        <f t="shared" si="2"/>
        <v>0</v>
      </c>
    </row>
    <row r="16" spans="1:18">
      <c r="A16" s="75" t="s">
        <v>60</v>
      </c>
      <c r="B16" s="125" t="s">
        <v>22</v>
      </c>
      <c r="C16" s="68"/>
      <c r="D16" s="68"/>
      <c r="E16" s="69"/>
      <c r="F16" s="70" t="s">
        <v>57</v>
      </c>
      <c r="G16" s="136"/>
      <c r="H16" s="139">
        <v>0</v>
      </c>
      <c r="I16" s="43">
        <f>ACN!H14*'ACN Costo Infra'!$H$16*R1</f>
        <v>0</v>
      </c>
      <c r="J16" s="43">
        <f>ACN!I14*'ACN Costo Infra'!$H$16*S1</f>
        <v>0</v>
      </c>
      <c r="K16" s="43">
        <f>ACN!J14*'ACN Costo Infra'!$H$16*T1</f>
        <v>0</v>
      </c>
      <c r="L16" s="43">
        <f>ACN!K14*'ACN Costo Infra'!$H$16*U1</f>
        <v>0</v>
      </c>
      <c r="M16" s="43">
        <f>ACN!L14*'ACN Costo Infra'!$H$16*V1</f>
        <v>0</v>
      </c>
      <c r="N16" s="43">
        <f>ACN!M14*'ACN Costo Infra'!$H$16*W1</f>
        <v>0</v>
      </c>
      <c r="O16" s="143">
        <f t="shared" si="2"/>
        <v>0</v>
      </c>
      <c r="Q16" s="100"/>
    </row>
    <row r="17" spans="1:15">
      <c r="A17" s="75" t="s">
        <v>61</v>
      </c>
      <c r="B17" s="125" t="s">
        <v>22</v>
      </c>
      <c r="C17" s="68"/>
      <c r="D17" s="68"/>
      <c r="E17" s="71"/>
      <c r="F17" s="70" t="s">
        <v>62</v>
      </c>
      <c r="G17" s="136"/>
      <c r="H17" s="137">
        <v>0</v>
      </c>
      <c r="I17" s="43">
        <f>ACN!H15*'ACN Costo Infra'!$H$17*R1</f>
        <v>0</v>
      </c>
      <c r="J17" s="43">
        <f>ACN!I15*'ACN Costo Infra'!$H$17*S1</f>
        <v>0</v>
      </c>
      <c r="K17" s="43">
        <f>ACN!J15*'ACN Costo Infra'!$H$17*T1</f>
        <v>0</v>
      </c>
      <c r="L17" s="43">
        <f>ACN!K15*'ACN Costo Infra'!$H$17*U1</f>
        <v>0</v>
      </c>
      <c r="M17" s="43">
        <f>ACN!L15*'ACN Costo Infra'!$H$17*V1</f>
        <v>0</v>
      </c>
      <c r="N17" s="43">
        <f>ACN!M15*'ACN Costo Infra'!$H$17*W1</f>
        <v>0</v>
      </c>
      <c r="O17" s="143">
        <f t="shared" si="2"/>
        <v>0</v>
      </c>
    </row>
    <row r="18" spans="1:15">
      <c r="A18" s="75" t="s">
        <v>63</v>
      </c>
      <c r="B18" s="125" t="s">
        <v>22</v>
      </c>
      <c r="C18" s="68"/>
      <c r="D18" s="68"/>
      <c r="E18" s="71"/>
      <c r="F18" s="70" t="s">
        <v>62</v>
      </c>
      <c r="G18" s="136"/>
      <c r="H18" s="137">
        <v>0</v>
      </c>
      <c r="I18" s="43">
        <f>ACN!H16*'ACN Costo Infra'!$H$18*R1</f>
        <v>0</v>
      </c>
      <c r="J18" s="43">
        <f>ACN!I16*'ACN Costo Infra'!$H$18*S1</f>
        <v>0</v>
      </c>
      <c r="K18" s="43">
        <f>ACN!J16*'ACN Costo Infra'!$H$18*T1</f>
        <v>0</v>
      </c>
      <c r="L18" s="43">
        <f>ACN!K16*'ACN Costo Infra'!$H$18*U1</f>
        <v>0</v>
      </c>
      <c r="M18" s="43">
        <f>ACN!L16*'ACN Costo Infra'!$H$18*V1</f>
        <v>0</v>
      </c>
      <c r="N18" s="43">
        <f>ACN!M16*'ACN Costo Infra'!$H$18*W1</f>
        <v>0</v>
      </c>
      <c r="O18" s="143">
        <f t="shared" si="2"/>
        <v>0</v>
      </c>
    </row>
    <row r="19" spans="1:15">
      <c r="A19" s="75" t="s">
        <v>64</v>
      </c>
      <c r="B19" s="125" t="s">
        <v>22</v>
      </c>
      <c r="C19" s="68"/>
      <c r="D19" s="68"/>
      <c r="E19" s="71"/>
      <c r="F19" s="70" t="s">
        <v>62</v>
      </c>
      <c r="G19" s="136"/>
      <c r="H19" s="137">
        <v>0</v>
      </c>
      <c r="I19" s="43">
        <f>ACN!H17*'ACN Costo Infra'!$H$19*R1</f>
        <v>0</v>
      </c>
      <c r="J19" s="43">
        <f>ACN!I17*'ACN Costo Infra'!$H$19*S1</f>
        <v>0</v>
      </c>
      <c r="K19" s="43">
        <f>ACN!J17*'ACN Costo Infra'!$H$19*T1</f>
        <v>0</v>
      </c>
      <c r="L19" s="43">
        <f>ACN!K17*'ACN Costo Infra'!$H$19*U1</f>
        <v>0</v>
      </c>
      <c r="M19" s="43">
        <f>ACN!L17*'ACN Costo Infra'!$H$19*V1</f>
        <v>0</v>
      </c>
      <c r="N19" s="43">
        <f>ACN!M17*'ACN Costo Infra'!$H$19*W1</f>
        <v>0</v>
      </c>
      <c r="O19" s="143">
        <f t="shared" si="2"/>
        <v>0</v>
      </c>
    </row>
    <row r="20" spans="1:15">
      <c r="A20" s="75" t="s">
        <v>65</v>
      </c>
      <c r="B20" s="125" t="s">
        <v>22</v>
      </c>
      <c r="C20" s="68"/>
      <c r="D20" s="68"/>
      <c r="E20" s="71"/>
      <c r="F20" s="70" t="s">
        <v>62</v>
      </c>
      <c r="G20" s="136"/>
      <c r="H20" s="137">
        <v>0</v>
      </c>
      <c r="I20" s="43">
        <f>ACN!H18*'ACN Costo Infra'!$H$20*R1</f>
        <v>0</v>
      </c>
      <c r="J20" s="43">
        <f>ACN!I18*'ACN Costo Infra'!$H$20*S1</f>
        <v>0</v>
      </c>
      <c r="K20" s="43">
        <f>ACN!J18*'ACN Costo Infra'!$H$20*T1</f>
        <v>0</v>
      </c>
      <c r="L20" s="43">
        <f>ACN!K18*'ACN Costo Infra'!$H$20*U1</f>
        <v>0</v>
      </c>
      <c r="M20" s="43">
        <f>ACN!L18*'ACN Costo Infra'!$H$20*V1</f>
        <v>0</v>
      </c>
      <c r="N20" s="43">
        <f>ACN!M18*'ACN Costo Infra'!$H$20*W1</f>
        <v>0</v>
      </c>
      <c r="O20" s="143">
        <f t="shared" si="2"/>
        <v>0</v>
      </c>
    </row>
    <row r="21" spans="1:15" ht="18" customHeight="1">
      <c r="A21" s="75" t="s">
        <v>66</v>
      </c>
      <c r="B21" s="125" t="s">
        <v>22</v>
      </c>
      <c r="C21" s="68"/>
      <c r="D21" s="68"/>
      <c r="E21" s="71"/>
      <c r="F21" s="70" t="s">
        <v>67</v>
      </c>
      <c r="G21" s="136"/>
      <c r="H21" s="137">
        <v>3</v>
      </c>
      <c r="I21" s="72">
        <f>$H$21*ACN!L20*R1</f>
        <v>918.66</v>
      </c>
      <c r="J21" s="72">
        <f>$H$21*ACN!I20*R1</f>
        <v>918.66</v>
      </c>
      <c r="K21" s="72">
        <f>$H$21*ACN!J20*R1</f>
        <v>918.66</v>
      </c>
      <c r="L21" s="72">
        <f>$H$21*ACN!K20*R1</f>
        <v>918.66</v>
      </c>
      <c r="M21" s="72">
        <f>$H$21*ACN!L20*R1</f>
        <v>918.66</v>
      </c>
      <c r="N21" s="72">
        <f>$H$21*ACN!M20*R1</f>
        <v>918.66</v>
      </c>
      <c r="O21" s="342">
        <f t="shared" si="2"/>
        <v>5511.96</v>
      </c>
    </row>
    <row r="22" spans="1:15">
      <c r="A22" s="75" t="s">
        <v>68</v>
      </c>
      <c r="B22" s="125" t="s">
        <v>22</v>
      </c>
      <c r="C22" s="68"/>
      <c r="D22" s="68"/>
      <c r="E22" s="71"/>
      <c r="F22" s="70" t="s">
        <v>69</v>
      </c>
      <c r="G22" s="136"/>
      <c r="H22" s="137">
        <v>9</v>
      </c>
      <c r="I22" s="43">
        <f>$H$22*ACN!L21*R1</f>
        <v>5841.36</v>
      </c>
      <c r="J22" s="43">
        <f>$H$22*ACN!I21*R1</f>
        <v>5841.36</v>
      </c>
      <c r="K22" s="43">
        <f>$H$22*ACN!J21*R1</f>
        <v>5841.36</v>
      </c>
      <c r="L22" s="43">
        <f>$H$22*ACN!K21*R1</f>
        <v>5841.36</v>
      </c>
      <c r="M22" s="43">
        <f>$H$22*ACN!L21*R1</f>
        <v>5841.36</v>
      </c>
      <c r="N22" s="43">
        <f>$H$22*ACN!M21*R1</f>
        <v>5841.36</v>
      </c>
      <c r="O22" s="143">
        <f t="shared" si="2"/>
        <v>35048.159999999996</v>
      </c>
    </row>
    <row r="23" spans="1:15">
      <c r="A23" s="75" t="s">
        <v>70</v>
      </c>
      <c r="B23" s="125" t="s">
        <v>22</v>
      </c>
      <c r="C23" s="68"/>
      <c r="D23" s="68"/>
      <c r="E23" s="71"/>
      <c r="F23" s="70" t="s">
        <v>71</v>
      </c>
      <c r="G23" s="136"/>
      <c r="H23" s="137">
        <v>0</v>
      </c>
      <c r="I23" s="43">
        <f>$H$23*ACN!L22*$R$1/2</f>
        <v>0</v>
      </c>
      <c r="J23" s="43">
        <f>$H$23*ACN!I22*$R$1/2</f>
        <v>0</v>
      </c>
      <c r="K23" s="43">
        <f>$H$23*ACN!J22*$R$1/2</f>
        <v>0</v>
      </c>
      <c r="L23" s="43">
        <f>$H$23*ACN!K22*$R$1/2</f>
        <v>0</v>
      </c>
      <c r="M23" s="43">
        <f>$H$23*ACN!L22*$R$1/2</f>
        <v>0</v>
      </c>
      <c r="N23" s="43">
        <f>$H$23*ACN!M22*$R$1/2</f>
        <v>0</v>
      </c>
      <c r="O23" s="143">
        <f t="shared" si="2"/>
        <v>0</v>
      </c>
    </row>
    <row r="24" spans="1:15">
      <c r="A24" s="181" t="s">
        <v>72</v>
      </c>
      <c r="B24" s="173" t="s">
        <v>22</v>
      </c>
      <c r="C24" s="151"/>
      <c r="D24" s="151"/>
      <c r="E24" s="163"/>
      <c r="F24" s="152" t="s">
        <v>73</v>
      </c>
      <c r="G24" s="164"/>
      <c r="H24" s="154">
        <v>0</v>
      </c>
      <c r="I24" s="165">
        <f>$H$24*ACN!L23*$R$1/30</f>
        <v>0</v>
      </c>
      <c r="J24" s="165">
        <f>$H$24*ACN!I23*$R$1/30</f>
        <v>0</v>
      </c>
      <c r="K24" s="165">
        <f>$H$24*ACN!J23*$R$1/30</f>
        <v>0</v>
      </c>
      <c r="L24" s="165">
        <f>$H$24*ACN!K23*$R$1/30</f>
        <v>0</v>
      </c>
      <c r="M24" s="165">
        <f>$H$24*ACN!L23*$R$1/30</f>
        <v>0</v>
      </c>
      <c r="N24" s="165">
        <f>$H$24*ACN!M23*$R$1/30</f>
        <v>0</v>
      </c>
      <c r="O24" s="155">
        <f t="shared" si="2"/>
        <v>0</v>
      </c>
    </row>
    <row r="25" spans="1:15">
      <c r="A25" s="182"/>
      <c r="B25" s="174"/>
      <c r="C25" s="156"/>
      <c r="D25" s="156"/>
      <c r="E25" s="156"/>
      <c r="F25" s="157"/>
      <c r="G25" s="157"/>
      <c r="H25" s="156"/>
      <c r="I25" s="348" t="s">
        <v>25</v>
      </c>
      <c r="J25" s="348" t="s">
        <v>26</v>
      </c>
      <c r="K25" s="348" t="s">
        <v>27</v>
      </c>
      <c r="L25" s="348" t="s">
        <v>28</v>
      </c>
      <c r="M25" s="348" t="s">
        <v>29</v>
      </c>
      <c r="N25" s="348" t="s">
        <v>30</v>
      </c>
      <c r="O25" s="346" t="s">
        <v>31</v>
      </c>
    </row>
    <row r="26" spans="1:15">
      <c r="A26" s="93" t="s">
        <v>74</v>
      </c>
      <c r="B26" s="175" t="s">
        <v>75</v>
      </c>
      <c r="C26" s="118"/>
      <c r="D26" s="118"/>
      <c r="E26" s="118"/>
      <c r="F26" s="118"/>
      <c r="G26" s="118"/>
      <c r="H26" s="118"/>
      <c r="I26" s="119">
        <f t="shared" ref="I26:O26" si="3">SUM(I5:I24)</f>
        <v>18483.017080000001</v>
      </c>
      <c r="J26" s="119">
        <f t="shared" si="3"/>
        <v>9678.137999999999</v>
      </c>
      <c r="K26" s="119">
        <f t="shared" si="3"/>
        <v>9540.4487999999983</v>
      </c>
      <c r="L26" s="119">
        <f t="shared" si="3"/>
        <v>9455.2073999999993</v>
      </c>
      <c r="M26" s="119">
        <f t="shared" si="3"/>
        <v>9414.4349999999995</v>
      </c>
      <c r="N26" s="119">
        <f t="shared" si="3"/>
        <v>9414.4349999999995</v>
      </c>
      <c r="O26" s="119">
        <f t="shared" si="3"/>
        <v>65985.68127999999</v>
      </c>
    </row>
    <row r="27" spans="1:15" ht="15" thickBot="1">
      <c r="A27" s="180" t="s">
        <v>76</v>
      </c>
      <c r="B27" s="176"/>
      <c r="C27" s="167"/>
      <c r="D27" s="167"/>
      <c r="E27" s="167"/>
      <c r="F27" s="167"/>
      <c r="G27" s="167"/>
      <c r="H27" s="167"/>
      <c r="I27" s="167"/>
      <c r="J27" s="167"/>
      <c r="K27" s="167"/>
      <c r="L27" s="167"/>
      <c r="M27" s="167"/>
      <c r="N27" s="167"/>
      <c r="O27" s="168"/>
    </row>
    <row r="28" spans="1:15">
      <c r="A28" s="78" t="s">
        <v>77</v>
      </c>
      <c r="B28" s="172" t="s">
        <v>22</v>
      </c>
      <c r="C28" s="79"/>
      <c r="D28" s="79"/>
      <c r="E28" s="166"/>
      <c r="F28" s="25" t="s">
        <v>78</v>
      </c>
      <c r="G28" s="158">
        <v>0</v>
      </c>
      <c r="H28" s="159">
        <v>0</v>
      </c>
      <c r="I28" s="82">
        <f>H28*'ACN Listino licenze'!C41*R1</f>
        <v>0</v>
      </c>
      <c r="J28" s="82">
        <f>I28</f>
        <v>0</v>
      </c>
      <c r="K28" s="82">
        <f>I28</f>
        <v>0</v>
      </c>
      <c r="L28" s="82">
        <f>I28</f>
        <v>0</v>
      </c>
      <c r="M28" s="82">
        <f>I28</f>
        <v>0</v>
      </c>
      <c r="N28" s="82">
        <f>I28</f>
        <v>0</v>
      </c>
      <c r="O28" s="160">
        <f t="shared" ref="O28:O34" si="4">SUM(I28:N28)</f>
        <v>0</v>
      </c>
    </row>
    <row r="29" spans="1:15" s="73" customFormat="1">
      <c r="A29" s="183" t="s">
        <v>79</v>
      </c>
      <c r="B29" s="125" t="s">
        <v>22</v>
      </c>
      <c r="C29" s="68"/>
      <c r="D29" s="68"/>
      <c r="E29" s="71"/>
      <c r="F29" s="70" t="s">
        <v>80</v>
      </c>
      <c r="G29" s="141">
        <v>1</v>
      </c>
      <c r="H29" s="137">
        <v>0</v>
      </c>
      <c r="I29" s="72">
        <f>'ACN Listino licenze'!C25*G29*H29/16*$R$1</f>
        <v>0</v>
      </c>
      <c r="J29" s="72">
        <f>'ACN Listino licenze'!$E$25*$G$29*$H$29*$R$1/16</f>
        <v>0</v>
      </c>
      <c r="K29" s="72">
        <f>'ACN Listino licenze'!$E$25*$G$29*$H$29*$R$1/16</f>
        <v>0</v>
      </c>
      <c r="L29" s="72">
        <f>'ACN Listino licenze'!$E$25*$G$29*$H$29*$R$1/16</f>
        <v>0</v>
      </c>
      <c r="M29" s="72">
        <f>'ACN Listino licenze'!$E$25*$G$29*$H$29*$R$1/16</f>
        <v>0</v>
      </c>
      <c r="N29" s="72">
        <f>'ACN Listino licenze'!$E$25*$G$29*$H$29*$R$1/16</f>
        <v>0</v>
      </c>
      <c r="O29" s="143">
        <f t="shared" si="4"/>
        <v>0</v>
      </c>
    </row>
    <row r="30" spans="1:15" s="73" customFormat="1">
      <c r="A30" s="75" t="s">
        <v>81</v>
      </c>
      <c r="B30" s="125" t="s">
        <v>22</v>
      </c>
      <c r="C30" s="68"/>
      <c r="D30" s="68"/>
      <c r="E30" s="71"/>
      <c r="F30" s="70" t="s">
        <v>80</v>
      </c>
      <c r="G30" s="141">
        <v>1</v>
      </c>
      <c r="H30" s="137">
        <v>0</v>
      </c>
      <c r="I30" s="72">
        <f>G30*H30*'ACN Listino licenze'!C26/16*R1</f>
        <v>0</v>
      </c>
      <c r="J30" s="72">
        <f>$G$30*$H$30*'ACN Listino licenze'!$E$26*$R$1/16</f>
        <v>0</v>
      </c>
      <c r="K30" s="72">
        <f>$G$30*$H$30*'ACN Listino licenze'!$E$26*$R$1/16</f>
        <v>0</v>
      </c>
      <c r="L30" s="72">
        <f>$G$30*$H$30*'ACN Listino licenze'!$E$26*$R$1/16</f>
        <v>0</v>
      </c>
      <c r="M30" s="72">
        <f>$G$30*$H$30*'ACN Listino licenze'!$E$26*$R$1/16</f>
        <v>0</v>
      </c>
      <c r="N30" s="72">
        <f>$G$30*$H$30*'ACN Listino licenze'!$E$26*$R$1/16</f>
        <v>0</v>
      </c>
      <c r="O30" s="143">
        <f t="shared" si="4"/>
        <v>0</v>
      </c>
    </row>
    <row r="31" spans="1:15" s="73" customFormat="1" ht="28.9">
      <c r="A31" s="75" t="s">
        <v>82</v>
      </c>
      <c r="B31" s="125" t="s">
        <v>39</v>
      </c>
      <c r="C31" s="68"/>
      <c r="D31" s="68"/>
      <c r="E31" s="71"/>
      <c r="F31" s="70" t="s">
        <v>83</v>
      </c>
      <c r="G31" s="141">
        <v>1</v>
      </c>
      <c r="H31" s="137">
        <v>0</v>
      </c>
      <c r="I31" s="72">
        <f>$G$31*$H$31*'ACN Listino licenze'!C27*70*R1</f>
        <v>0</v>
      </c>
      <c r="J31" s="72">
        <f>$G$31*$H$31*'ACN Listino licenze'!$E$27*70*R$1</f>
        <v>0</v>
      </c>
      <c r="K31" s="72">
        <f>$G$31*$H$31*'ACN Listino licenze'!$E$27*70*S$1</f>
        <v>0</v>
      </c>
      <c r="L31" s="72">
        <f>$G$31*$H$31*'ACN Listino licenze'!$E$27*70*T$1</f>
        <v>0</v>
      </c>
      <c r="M31" s="72">
        <f>$G$31*$H$31*'ACN Listino licenze'!$E$27*70*U$1</f>
        <v>0</v>
      </c>
      <c r="N31" s="72">
        <f>$G$31*$H$31*'ACN Listino licenze'!$E$27*70*V$1</f>
        <v>0</v>
      </c>
      <c r="O31" s="143">
        <f t="shared" si="4"/>
        <v>0</v>
      </c>
    </row>
    <row r="32" spans="1:15" s="73" customFormat="1" ht="28.9">
      <c r="A32" s="75" t="s">
        <v>84</v>
      </c>
      <c r="B32" s="125" t="s">
        <v>39</v>
      </c>
      <c r="C32" s="68"/>
      <c r="D32" s="68"/>
      <c r="E32" s="71"/>
      <c r="F32" s="70" t="s">
        <v>83</v>
      </c>
      <c r="G32" s="141">
        <v>1</v>
      </c>
      <c r="H32" s="137">
        <v>0</v>
      </c>
      <c r="I32" s="72">
        <f>'ACN Listino licenze'!C27*H32*G32*70*R1</f>
        <v>0</v>
      </c>
      <c r="J32" s="72">
        <f>$G$32*$H$32*'ACN Listino licenze'!$E$27*70*$R$1</f>
        <v>0</v>
      </c>
      <c r="K32" s="72">
        <f>$G$32*$H$32*'ACN Listino licenze'!$E$27*70*$R$1</f>
        <v>0</v>
      </c>
      <c r="L32" s="72">
        <f>$G$32*$H$32*'ACN Listino licenze'!$E$27*70*$R$1</f>
        <v>0</v>
      </c>
      <c r="M32" s="72">
        <f>$G$32*$H$32*'ACN Listino licenze'!$E$27*70*$R$1</f>
        <v>0</v>
      </c>
      <c r="N32" s="72">
        <f>$G$32*$H$32*'ACN Listino licenze'!$E$27*70*$R$1</f>
        <v>0</v>
      </c>
      <c r="O32" s="143">
        <f t="shared" si="4"/>
        <v>0</v>
      </c>
    </row>
    <row r="33" spans="1:15" s="73" customFormat="1">
      <c r="A33" s="75" t="s">
        <v>85</v>
      </c>
      <c r="B33" s="125" t="s">
        <v>39</v>
      </c>
      <c r="C33" s="68"/>
      <c r="D33" s="68"/>
      <c r="E33" s="71"/>
      <c r="F33" s="70" t="s">
        <v>86</v>
      </c>
      <c r="G33" s="141">
        <v>1</v>
      </c>
      <c r="H33" s="137">
        <v>0</v>
      </c>
      <c r="I33" s="72">
        <f>G33*H33*'ACN Listino licenze'!C36*$R$1</f>
        <v>0</v>
      </c>
      <c r="J33" s="72">
        <f>$G$33*$H$33*'ACN Listino licenze'!$E$36*$R$1</f>
        <v>0</v>
      </c>
      <c r="K33" s="72">
        <f>$G$33*$H$33*'ACN Listino licenze'!$E$36*$R$1</f>
        <v>0</v>
      </c>
      <c r="L33" s="72">
        <f>$G$33*$H$33*'ACN Listino licenze'!$E$36*$R$1</f>
        <v>0</v>
      </c>
      <c r="M33" s="72">
        <f>$G$33*$H$33*'ACN Listino licenze'!$E$36*$R$1</f>
        <v>0</v>
      </c>
      <c r="N33" s="72">
        <f>$G$33*$H$33*'ACN Listino licenze'!$E$36*$R$1</f>
        <v>0</v>
      </c>
      <c r="O33" s="143">
        <f t="shared" si="4"/>
        <v>0</v>
      </c>
    </row>
    <row r="34" spans="1:15" s="73" customFormat="1">
      <c r="A34" s="186" t="s">
        <v>87</v>
      </c>
      <c r="B34" s="187" t="s">
        <v>22</v>
      </c>
      <c r="C34" s="188"/>
      <c r="D34" s="188"/>
      <c r="E34" s="189"/>
      <c r="F34" s="190" t="s">
        <v>88</v>
      </c>
      <c r="G34" s="191"/>
      <c r="H34" s="192">
        <f>(H5*4+H6*8)/3+(H7*16+H8*16)/3</f>
        <v>16</v>
      </c>
      <c r="I34" s="193">
        <f>$H$34*89*1.05*1.006*1.22</f>
        <v>1835.0888640000001</v>
      </c>
      <c r="J34" s="193">
        <f t="shared" ref="J34:N34" si="5">$H$34*110*1.05*1.006*1.22</f>
        <v>2268.08736</v>
      </c>
      <c r="K34" s="72">
        <f t="shared" si="5"/>
        <v>2268.08736</v>
      </c>
      <c r="L34" s="72">
        <f t="shared" si="5"/>
        <v>2268.08736</v>
      </c>
      <c r="M34" s="72">
        <f t="shared" si="5"/>
        <v>2268.08736</v>
      </c>
      <c r="N34" s="72">
        <f t="shared" si="5"/>
        <v>2268.08736</v>
      </c>
      <c r="O34" s="342">
        <f t="shared" si="4"/>
        <v>13175.525663999999</v>
      </c>
    </row>
    <row r="35" spans="1:15">
      <c r="A35" s="75" t="s">
        <v>89</v>
      </c>
      <c r="B35" s="125" t="s">
        <v>39</v>
      </c>
      <c r="C35" s="68"/>
      <c r="D35" s="68"/>
      <c r="E35" s="71"/>
      <c r="F35" s="70" t="s">
        <v>90</v>
      </c>
      <c r="G35" s="141">
        <v>1</v>
      </c>
      <c r="H35" s="137">
        <v>0</v>
      </c>
      <c r="I35" s="43">
        <f>'ACN Listino licenze'!C39/25*H35*G35*1.22</f>
        <v>0</v>
      </c>
      <c r="J35" s="43">
        <f>'ACN Listino licenze'!$E$39*$G$35*$H$35/25*1.22</f>
        <v>0</v>
      </c>
      <c r="K35" s="43">
        <f>'ACN Listino licenze'!$E$39*$G$35*$H$35/25*1.22</f>
        <v>0</v>
      </c>
      <c r="L35" s="43">
        <f>'ACN Listino licenze'!$E$39*$G$35*$H$35/25*1.22</f>
        <v>0</v>
      </c>
      <c r="M35" s="43">
        <f>'ACN Listino licenze'!$E$39*$G$35*$H$35/25*1.22</f>
        <v>0</v>
      </c>
      <c r="N35" s="43">
        <f>'ACN Listino licenze'!$E$39*$G$35*$H$35/25*1.22</f>
        <v>0</v>
      </c>
      <c r="O35" s="143">
        <f>SUM(I35:N35)</f>
        <v>0</v>
      </c>
    </row>
    <row r="36" spans="1:15" s="73" customFormat="1">
      <c r="A36" s="76" t="s">
        <v>91</v>
      </c>
      <c r="B36" s="125" t="s">
        <v>22</v>
      </c>
      <c r="C36" s="68"/>
      <c r="D36" s="68"/>
      <c r="E36" s="68"/>
      <c r="F36" s="70" t="s">
        <v>92</v>
      </c>
      <c r="G36" s="141">
        <v>1</v>
      </c>
      <c r="H36" s="137">
        <v>0</v>
      </c>
      <c r="I36" s="72">
        <f>G36*H36*'ACN Listino licenze'!C46*$R$1</f>
        <v>0</v>
      </c>
      <c r="J36" s="72">
        <f t="shared" ref="J36:J41" si="6">I36</f>
        <v>0</v>
      </c>
      <c r="K36" s="72">
        <f t="shared" ref="K36:N36" si="7">J36</f>
        <v>0</v>
      </c>
      <c r="L36" s="72">
        <f t="shared" si="7"/>
        <v>0</v>
      </c>
      <c r="M36" s="72">
        <f t="shared" si="7"/>
        <v>0</v>
      </c>
      <c r="N36" s="72">
        <f t="shared" si="7"/>
        <v>0</v>
      </c>
      <c r="O36" s="143">
        <f>SUM(I36:N36)</f>
        <v>0</v>
      </c>
    </row>
    <row r="37" spans="1:15" s="73" customFormat="1">
      <c r="A37" s="76" t="s">
        <v>93</v>
      </c>
      <c r="B37" s="125" t="s">
        <v>22</v>
      </c>
      <c r="C37" s="68"/>
      <c r="D37" s="68"/>
      <c r="E37" s="68"/>
      <c r="F37" s="70" t="s">
        <v>92</v>
      </c>
      <c r="G37" s="141">
        <v>1</v>
      </c>
      <c r="H37" s="137">
        <v>0</v>
      </c>
      <c r="I37" s="72">
        <f>G37*H37*'ACN Listino licenze'!C47*$R$1</f>
        <v>0</v>
      </c>
      <c r="J37" s="72">
        <f t="shared" si="6"/>
        <v>0</v>
      </c>
      <c r="K37" s="72">
        <f t="shared" ref="K37:N37" si="8">J37</f>
        <v>0</v>
      </c>
      <c r="L37" s="72">
        <f t="shared" si="8"/>
        <v>0</v>
      </c>
      <c r="M37" s="72">
        <f t="shared" si="8"/>
        <v>0</v>
      </c>
      <c r="N37" s="72">
        <f t="shared" si="8"/>
        <v>0</v>
      </c>
      <c r="O37" s="143">
        <f>SUM(I37:N37)</f>
        <v>0</v>
      </c>
    </row>
    <row r="38" spans="1:15" s="73" customFormat="1">
      <c r="A38" s="76" t="s">
        <v>94</v>
      </c>
      <c r="B38" s="125" t="s">
        <v>22</v>
      </c>
      <c r="C38" s="68"/>
      <c r="D38" s="68"/>
      <c r="E38" s="68"/>
      <c r="F38" s="70" t="s">
        <v>92</v>
      </c>
      <c r="G38" s="141">
        <v>1</v>
      </c>
      <c r="H38" s="137">
        <v>0</v>
      </c>
      <c r="I38" s="72">
        <f>G38*H38*'ACN Listino licenze'!C48*$R$1</f>
        <v>0</v>
      </c>
      <c r="J38" s="72">
        <f t="shared" si="6"/>
        <v>0</v>
      </c>
      <c r="K38" s="72">
        <f t="shared" ref="K38:N38" si="9">J38</f>
        <v>0</v>
      </c>
      <c r="L38" s="72">
        <f t="shared" si="9"/>
        <v>0</v>
      </c>
      <c r="M38" s="72">
        <f t="shared" si="9"/>
        <v>0</v>
      </c>
      <c r="N38" s="72">
        <f t="shared" si="9"/>
        <v>0</v>
      </c>
      <c r="O38" s="143">
        <f>SUM(I38:N38)</f>
        <v>0</v>
      </c>
    </row>
    <row r="39" spans="1:15" s="73" customFormat="1">
      <c r="A39" s="77" t="s">
        <v>95</v>
      </c>
      <c r="B39" s="125" t="s">
        <v>22</v>
      </c>
      <c r="C39" s="68"/>
      <c r="D39" s="68"/>
      <c r="E39" s="68"/>
      <c r="F39" s="70" t="s">
        <v>92</v>
      </c>
      <c r="G39" s="141">
        <v>1</v>
      </c>
      <c r="H39" s="137">
        <v>19</v>
      </c>
      <c r="I39" s="72">
        <f>G39*H39*'ACN Listino licenze'!C49*$R$1</f>
        <v>16014.366600000001</v>
      </c>
      <c r="J39" s="72">
        <f t="shared" si="6"/>
        <v>16014.366600000001</v>
      </c>
      <c r="K39" s="72">
        <f t="shared" ref="K39:N39" si="10">J39</f>
        <v>16014.366600000001</v>
      </c>
      <c r="L39" s="72">
        <f t="shared" si="10"/>
        <v>16014.366600000001</v>
      </c>
      <c r="M39" s="72">
        <f t="shared" si="10"/>
        <v>16014.366600000001</v>
      </c>
      <c r="N39" s="72">
        <f t="shared" si="10"/>
        <v>16014.366600000001</v>
      </c>
      <c r="O39" s="143">
        <f>SUM(I39:N39)</f>
        <v>96086.199600000022</v>
      </c>
    </row>
    <row r="40" spans="1:15" s="73" customFormat="1">
      <c r="A40" s="77" t="s">
        <v>96</v>
      </c>
      <c r="B40" s="125" t="s">
        <v>22</v>
      </c>
      <c r="C40" s="68"/>
      <c r="D40" s="68"/>
      <c r="E40" s="68"/>
      <c r="F40" s="70" t="s">
        <v>92</v>
      </c>
      <c r="G40" s="141">
        <v>1</v>
      </c>
      <c r="H40" s="137">
        <v>19</v>
      </c>
      <c r="I40" s="72">
        <f>G40*H40*'ACN Listino licenze'!C50*$R$1</f>
        <v>10771.5142</v>
      </c>
      <c r="J40" s="72">
        <f t="shared" si="6"/>
        <v>10771.5142</v>
      </c>
      <c r="K40" s="72">
        <f t="shared" ref="K40:N40" si="11">J40</f>
        <v>10771.5142</v>
      </c>
      <c r="L40" s="72">
        <f t="shared" si="11"/>
        <v>10771.5142</v>
      </c>
      <c r="M40" s="72">
        <f t="shared" si="11"/>
        <v>10771.5142</v>
      </c>
      <c r="N40" s="72">
        <f t="shared" si="11"/>
        <v>10771.5142</v>
      </c>
      <c r="O40" s="143">
        <f t="shared" ref="O40:O47" si="12">SUM(I40:N40)</f>
        <v>64629.085199999994</v>
      </c>
    </row>
    <row r="41" spans="1:15" s="73" customFormat="1">
      <c r="A41" s="77" t="s">
        <v>97</v>
      </c>
      <c r="B41" s="125" t="s">
        <v>22</v>
      </c>
      <c r="C41" s="68"/>
      <c r="D41" s="68"/>
      <c r="E41" s="68"/>
      <c r="F41" s="70" t="s">
        <v>92</v>
      </c>
      <c r="G41" s="141">
        <v>1</v>
      </c>
      <c r="H41" s="137">
        <v>15</v>
      </c>
      <c r="I41" s="72">
        <f>G41*H41*'ACN Listino licenze'!C51*$R$1</f>
        <v>8503.8270000000011</v>
      </c>
      <c r="J41" s="72">
        <f t="shared" si="6"/>
        <v>8503.8270000000011</v>
      </c>
      <c r="K41" s="72">
        <f t="shared" ref="K41:N52" si="13">J41</f>
        <v>8503.8270000000011</v>
      </c>
      <c r="L41" s="72">
        <f t="shared" si="13"/>
        <v>8503.8270000000011</v>
      </c>
      <c r="M41" s="72">
        <f t="shared" si="13"/>
        <v>8503.8270000000011</v>
      </c>
      <c r="N41" s="72">
        <f t="shared" si="13"/>
        <v>8503.8270000000011</v>
      </c>
      <c r="O41" s="143">
        <f t="shared" si="12"/>
        <v>51022.962000000014</v>
      </c>
    </row>
    <row r="42" spans="1:15" s="73" customFormat="1">
      <c r="A42" s="77" t="s">
        <v>98</v>
      </c>
      <c r="B42" s="125" t="s">
        <v>22</v>
      </c>
      <c r="C42" s="68"/>
      <c r="D42" s="68"/>
      <c r="E42" s="68"/>
      <c r="F42" s="70" t="s">
        <v>99</v>
      </c>
      <c r="G42" s="141">
        <v>1</v>
      </c>
      <c r="H42" s="137">
        <v>0</v>
      </c>
      <c r="I42" s="72">
        <f>H42*780*$R$1</f>
        <v>0</v>
      </c>
      <c r="J42" s="72">
        <f t="shared" ref="J42:J52" si="14">I42</f>
        <v>0</v>
      </c>
      <c r="K42" s="72">
        <f t="shared" si="13"/>
        <v>0</v>
      </c>
      <c r="L42" s="72">
        <f t="shared" si="13"/>
        <v>0</v>
      </c>
      <c r="M42" s="72">
        <f t="shared" si="13"/>
        <v>0</v>
      </c>
      <c r="N42" s="72">
        <f t="shared" si="13"/>
        <v>0</v>
      </c>
      <c r="O42" s="143">
        <f t="shared" si="12"/>
        <v>0</v>
      </c>
    </row>
    <row r="43" spans="1:15" s="73" customFormat="1">
      <c r="A43" s="77" t="s">
        <v>100</v>
      </c>
      <c r="B43" s="125" t="s">
        <v>22</v>
      </c>
      <c r="C43" s="68"/>
      <c r="D43" s="68"/>
      <c r="E43" s="68"/>
      <c r="F43" s="70" t="s">
        <v>101</v>
      </c>
      <c r="G43" s="141">
        <v>1</v>
      </c>
      <c r="H43" s="137">
        <v>9</v>
      </c>
      <c r="I43" s="72">
        <f>$H$43*'ACN Listino licenze'!$C$17*$R$1</f>
        <v>358.10562887999998</v>
      </c>
      <c r="J43" s="72">
        <f>$H$43*'ACN Listino licenze'!$C$17*$R$1</f>
        <v>358.10562887999998</v>
      </c>
      <c r="K43" s="72">
        <f>$H$43*'ACN Listino licenze'!$C$17*$R$1</f>
        <v>358.10562887999998</v>
      </c>
      <c r="L43" s="72">
        <f>$H$43*'ACN Listino licenze'!$C$17*$R$1</f>
        <v>358.10562887999998</v>
      </c>
      <c r="M43" s="72">
        <f>$H$43*'ACN Listino licenze'!$C$17*$R$1</f>
        <v>358.10562887999998</v>
      </c>
      <c r="N43" s="72">
        <f>$H$43*'ACN Listino licenze'!$C$17*$R$1</f>
        <v>358.10562887999998</v>
      </c>
      <c r="O43" s="143">
        <f t="shared" si="12"/>
        <v>2148.6337732799998</v>
      </c>
    </row>
    <row r="44" spans="1:15" s="73" customFormat="1" ht="15" customHeight="1">
      <c r="A44" s="77" t="s">
        <v>102</v>
      </c>
      <c r="B44" s="125" t="s">
        <v>22</v>
      </c>
      <c r="C44" s="68"/>
      <c r="D44" s="68"/>
      <c r="E44" s="68"/>
      <c r="F44" s="70" t="s">
        <v>103</v>
      </c>
      <c r="G44" s="141">
        <v>1</v>
      </c>
      <c r="H44" s="137">
        <v>0</v>
      </c>
      <c r="I44" s="72">
        <f>$H$44*'ACN Listino licenze'!$C$18*$R$1</f>
        <v>0</v>
      </c>
      <c r="J44" s="72">
        <f>$H$44*'ACN Listino licenze'!$C$18*$R$1</f>
        <v>0</v>
      </c>
      <c r="K44" s="72">
        <f>$H$44*'ACN Listino licenze'!$C$18*$R$1</f>
        <v>0</v>
      </c>
      <c r="L44" s="72">
        <f>$H$44*'ACN Listino licenze'!$C$18*$R$1</f>
        <v>0</v>
      </c>
      <c r="M44" s="72">
        <f>$H$44*'ACN Listino licenze'!$C$18*$R$1</f>
        <v>0</v>
      </c>
      <c r="N44" s="72">
        <f>$H$44*'ACN Listino licenze'!$C$18*$R$1</f>
        <v>0</v>
      </c>
      <c r="O44" s="143">
        <f t="shared" si="12"/>
        <v>0</v>
      </c>
    </row>
    <row r="45" spans="1:15" s="73" customFormat="1" ht="15" customHeight="1">
      <c r="A45" s="77" t="s">
        <v>104</v>
      </c>
      <c r="B45" s="125" t="s">
        <v>22</v>
      </c>
      <c r="C45" s="68"/>
      <c r="D45" s="68"/>
      <c r="E45" s="68"/>
      <c r="F45" s="70" t="s">
        <v>105</v>
      </c>
      <c r="G45" s="141">
        <v>1</v>
      </c>
      <c r="H45" s="137">
        <v>15</v>
      </c>
      <c r="I45" s="72">
        <f>$H$45*'ACN Listino licenze'!$C$19*$R$1</f>
        <v>222.82812000000001</v>
      </c>
      <c r="J45" s="72">
        <f>$H$45*'ACN Listino licenze'!$C$19*$R$1</f>
        <v>222.82812000000001</v>
      </c>
      <c r="K45" s="72">
        <f>$H$45*'ACN Listino licenze'!$C$19*$R$1</f>
        <v>222.82812000000001</v>
      </c>
      <c r="L45" s="72">
        <f>$H$45*'ACN Listino licenze'!$C$19*$R$1</f>
        <v>222.82812000000001</v>
      </c>
      <c r="M45" s="72">
        <f>$H$45*'ACN Listino licenze'!$C$19*$R$1</f>
        <v>222.82812000000001</v>
      </c>
      <c r="N45" s="72">
        <f>$H$45*'ACN Listino licenze'!$C$19*$R$1</f>
        <v>222.82812000000001</v>
      </c>
      <c r="O45" s="143">
        <f t="shared" si="12"/>
        <v>1336.9687200000003</v>
      </c>
    </row>
    <row r="46" spans="1:15" s="73" customFormat="1" ht="31.5" customHeight="1">
      <c r="A46" s="77" t="s">
        <v>106</v>
      </c>
      <c r="B46" s="125" t="s">
        <v>22</v>
      </c>
      <c r="C46" s="68"/>
      <c r="D46" s="68"/>
      <c r="E46" s="68"/>
      <c r="F46" s="70" t="s">
        <v>107</v>
      </c>
      <c r="G46" s="141">
        <v>1</v>
      </c>
      <c r="H46" s="137">
        <v>2</v>
      </c>
      <c r="I46" s="72">
        <f>$H$46*'ACN Listino licenze'!$C$20*$R$1</f>
        <v>1482.3146399999998</v>
      </c>
      <c r="J46" s="72">
        <f>$H$46*'ACN Listino licenze'!$C$20*$R$1</f>
        <v>1482.3146399999998</v>
      </c>
      <c r="K46" s="72">
        <f>$H$46*'ACN Listino licenze'!$C$20*$R$1</f>
        <v>1482.3146399999998</v>
      </c>
      <c r="L46" s="72">
        <f>$H$46*'ACN Listino licenze'!$C$20*$R$1</f>
        <v>1482.3146399999998</v>
      </c>
      <c r="M46" s="72">
        <f>$H$46*'ACN Listino licenze'!$C$20*$R$1</f>
        <v>1482.3146399999998</v>
      </c>
      <c r="N46" s="72">
        <f>$H$46*'ACN Listino licenze'!$C$20*$R$1</f>
        <v>1482.3146399999998</v>
      </c>
      <c r="O46" s="143">
        <f t="shared" si="12"/>
        <v>8893.8878399999994</v>
      </c>
    </row>
    <row r="47" spans="1:15" s="73" customFormat="1" ht="27.75" customHeight="1">
      <c r="A47" s="77" t="s">
        <v>108</v>
      </c>
      <c r="B47" s="125" t="s">
        <v>22</v>
      </c>
      <c r="C47" s="68"/>
      <c r="D47" s="68"/>
      <c r="E47" s="68"/>
      <c r="F47" s="70" t="s">
        <v>109</v>
      </c>
      <c r="G47" s="141">
        <v>1</v>
      </c>
      <c r="H47" s="137">
        <f>H46*30</f>
        <v>60</v>
      </c>
      <c r="I47" s="72">
        <f>$H$47*'ACN Listino licenze'!$C$21*$R$1</f>
        <v>1.0672559999999998</v>
      </c>
      <c r="J47" s="72">
        <f>$H$47*'ACN Listino licenze'!$C$21*$R$1</f>
        <v>1.0672559999999998</v>
      </c>
      <c r="K47" s="72">
        <f>$H$47*'ACN Listino licenze'!$C$21*$R$1</f>
        <v>1.0672559999999998</v>
      </c>
      <c r="L47" s="72">
        <f>$H$47*'ACN Listino licenze'!$C$21*$R$1</f>
        <v>1.0672559999999998</v>
      </c>
      <c r="M47" s="72">
        <f>$H$47*'ACN Listino licenze'!$C$21*$R$1</f>
        <v>1.0672559999999998</v>
      </c>
      <c r="N47" s="72">
        <f>$H$47*'ACN Listino licenze'!$C$21*$R$1</f>
        <v>1.0672559999999998</v>
      </c>
      <c r="O47" s="143">
        <f t="shared" si="12"/>
        <v>6.4035359999999981</v>
      </c>
    </row>
    <row r="48" spans="1:15" s="73" customFormat="1">
      <c r="A48" s="77" t="s">
        <v>110</v>
      </c>
      <c r="B48" s="125" t="s">
        <v>22</v>
      </c>
      <c r="C48" s="68"/>
      <c r="D48" s="68"/>
      <c r="E48" s="68"/>
      <c r="F48" s="70" t="s">
        <v>111</v>
      </c>
      <c r="G48" s="141">
        <v>1</v>
      </c>
      <c r="H48" s="137">
        <v>0</v>
      </c>
      <c r="I48" s="72">
        <f>H48*41.3*12*1.22</f>
        <v>0</v>
      </c>
      <c r="J48" s="72">
        <f t="shared" si="14"/>
        <v>0</v>
      </c>
      <c r="K48" s="72">
        <f t="shared" si="13"/>
        <v>0</v>
      </c>
      <c r="L48" s="72">
        <f t="shared" si="13"/>
        <v>0</v>
      </c>
      <c r="M48" s="72">
        <f t="shared" si="13"/>
        <v>0</v>
      </c>
      <c r="N48" s="72">
        <f t="shared" si="13"/>
        <v>0</v>
      </c>
      <c r="O48" s="143">
        <f>SUM(I48:N48)</f>
        <v>0</v>
      </c>
    </row>
    <row r="49" spans="1:15" s="73" customFormat="1">
      <c r="A49" s="77" t="s">
        <v>112</v>
      </c>
      <c r="B49" s="125" t="s">
        <v>22</v>
      </c>
      <c r="C49" s="68"/>
      <c r="D49" s="68"/>
      <c r="E49" s="68"/>
      <c r="F49" s="70" t="s">
        <v>113</v>
      </c>
      <c r="G49" s="141">
        <v>1</v>
      </c>
      <c r="H49" s="137">
        <v>0</v>
      </c>
      <c r="I49" s="72">
        <f>G49*H49*'ACN Listino licenze'!C52*$R$1</f>
        <v>0</v>
      </c>
      <c r="J49" s="72">
        <f t="shared" si="14"/>
        <v>0</v>
      </c>
      <c r="K49" s="72">
        <f t="shared" si="13"/>
        <v>0</v>
      </c>
      <c r="L49" s="72">
        <f t="shared" si="13"/>
        <v>0</v>
      </c>
      <c r="M49" s="72">
        <f t="shared" si="13"/>
        <v>0</v>
      </c>
      <c r="N49" s="72">
        <f t="shared" si="13"/>
        <v>0</v>
      </c>
      <c r="O49" s="143">
        <f>SUM(I49:N49)</f>
        <v>0</v>
      </c>
    </row>
    <row r="50" spans="1:15" s="73" customFormat="1">
      <c r="A50" s="77" t="s">
        <v>114</v>
      </c>
      <c r="B50" s="125" t="s">
        <v>22</v>
      </c>
      <c r="C50" s="68"/>
      <c r="D50" s="68"/>
      <c r="E50" s="68"/>
      <c r="F50" s="70" t="s">
        <v>115</v>
      </c>
      <c r="G50" s="141">
        <v>1</v>
      </c>
      <c r="H50" s="137">
        <v>0</v>
      </c>
      <c r="I50" s="72">
        <f>G50*H50*'ACN Listino licenze'!C53*$R$1</f>
        <v>0</v>
      </c>
      <c r="J50" s="72">
        <f t="shared" si="14"/>
        <v>0</v>
      </c>
      <c r="K50" s="72">
        <f t="shared" si="13"/>
        <v>0</v>
      </c>
      <c r="L50" s="72">
        <f t="shared" si="13"/>
        <v>0</v>
      </c>
      <c r="M50" s="72">
        <f t="shared" si="13"/>
        <v>0</v>
      </c>
      <c r="N50" s="72">
        <f t="shared" si="13"/>
        <v>0</v>
      </c>
      <c r="O50" s="143">
        <f>SUM(I50:N50)</f>
        <v>0</v>
      </c>
    </row>
    <row r="51" spans="1:15" s="73" customFormat="1">
      <c r="A51" s="77" t="s">
        <v>116</v>
      </c>
      <c r="B51" s="125" t="s">
        <v>22</v>
      </c>
      <c r="C51" s="68"/>
      <c r="D51" s="68"/>
      <c r="E51" s="68"/>
      <c r="F51" s="70" t="s">
        <v>117</v>
      </c>
      <c r="G51" s="141">
        <v>1</v>
      </c>
      <c r="H51" s="137">
        <v>0</v>
      </c>
      <c r="I51" s="72">
        <f>G51*H51*'ACN Listino licenze'!C54*$R$1</f>
        <v>0</v>
      </c>
      <c r="J51" s="72">
        <f t="shared" si="14"/>
        <v>0</v>
      </c>
      <c r="K51" s="72">
        <f t="shared" si="13"/>
        <v>0</v>
      </c>
      <c r="L51" s="72">
        <f t="shared" si="13"/>
        <v>0</v>
      </c>
      <c r="M51" s="72">
        <f t="shared" si="13"/>
        <v>0</v>
      </c>
      <c r="N51" s="72">
        <f t="shared" si="13"/>
        <v>0</v>
      </c>
      <c r="O51" s="143">
        <f>SUM(I51:N51)</f>
        <v>0</v>
      </c>
    </row>
    <row r="52" spans="1:15" s="73" customFormat="1">
      <c r="A52" s="77" t="s">
        <v>118</v>
      </c>
      <c r="B52" s="125" t="s">
        <v>22</v>
      </c>
      <c r="C52" s="68"/>
      <c r="D52" s="68"/>
      <c r="E52" s="68"/>
      <c r="F52" s="70" t="s">
        <v>119</v>
      </c>
      <c r="G52" s="141">
        <v>1</v>
      </c>
      <c r="H52" s="137">
        <v>0</v>
      </c>
      <c r="I52" s="72">
        <f>G52*H52*'ACN Listino licenze'!C55*$R$1</f>
        <v>0</v>
      </c>
      <c r="J52" s="72">
        <f t="shared" si="14"/>
        <v>0</v>
      </c>
      <c r="K52" s="72">
        <f t="shared" si="13"/>
        <v>0</v>
      </c>
      <c r="L52" s="72">
        <f t="shared" si="13"/>
        <v>0</v>
      </c>
      <c r="M52" s="72">
        <f t="shared" si="13"/>
        <v>0</v>
      </c>
      <c r="N52" s="72">
        <f t="shared" si="13"/>
        <v>0</v>
      </c>
      <c r="O52" s="143">
        <f>SUM(I52:N52)</f>
        <v>0</v>
      </c>
    </row>
    <row r="53" spans="1:15" s="73" customFormat="1">
      <c r="A53" s="77" t="s">
        <v>120</v>
      </c>
      <c r="B53" s="125" t="s">
        <v>22</v>
      </c>
      <c r="C53" s="68"/>
      <c r="D53" s="68"/>
      <c r="E53" s="68"/>
      <c r="F53" s="70"/>
      <c r="G53" s="141">
        <v>1</v>
      </c>
      <c r="H53" s="137">
        <v>0</v>
      </c>
      <c r="I53" s="72">
        <f>2818*H53</f>
        <v>0</v>
      </c>
      <c r="J53" s="72"/>
      <c r="K53" s="72"/>
      <c r="L53" s="72"/>
      <c r="M53" s="72"/>
      <c r="N53" s="72"/>
      <c r="O53" s="143"/>
    </row>
    <row r="54" spans="1:15" s="73" customFormat="1">
      <c r="A54" s="184"/>
      <c r="B54" s="177"/>
      <c r="C54" s="92"/>
      <c r="D54" s="92"/>
      <c r="E54" s="92"/>
      <c r="F54" s="140"/>
      <c r="G54" s="140"/>
      <c r="H54" s="92"/>
      <c r="I54" s="349" t="s">
        <v>25</v>
      </c>
      <c r="J54" s="349" t="s">
        <v>26</v>
      </c>
      <c r="K54" s="349" t="s">
        <v>27</v>
      </c>
      <c r="L54" s="349" t="s">
        <v>28</v>
      </c>
      <c r="M54" s="349" t="s">
        <v>29</v>
      </c>
      <c r="N54" s="349" t="s">
        <v>30</v>
      </c>
      <c r="O54" s="347" t="s">
        <v>31</v>
      </c>
    </row>
    <row r="55" spans="1:15">
      <c r="A55" s="93" t="s">
        <v>121</v>
      </c>
      <c r="B55" s="175" t="s">
        <v>122</v>
      </c>
      <c r="C55" s="118"/>
      <c r="D55" s="118"/>
      <c r="E55" s="118"/>
      <c r="F55" s="118"/>
      <c r="G55" s="118"/>
      <c r="H55" s="118"/>
      <c r="I55" s="119">
        <f>I31+I32+I33+I35</f>
        <v>0</v>
      </c>
      <c r="J55" s="119"/>
      <c r="K55" s="119"/>
      <c r="L55" s="119"/>
      <c r="M55" s="119"/>
      <c r="N55" s="119"/>
      <c r="O55" s="144">
        <f>SUM(I55:N55)</f>
        <v>0</v>
      </c>
    </row>
    <row r="56" spans="1:15">
      <c r="A56" s="93" t="s">
        <v>123</v>
      </c>
      <c r="B56" s="175" t="s">
        <v>75</v>
      </c>
      <c r="C56" s="118"/>
      <c r="D56" s="118"/>
      <c r="E56" s="118"/>
      <c r="F56" s="118"/>
      <c r="G56" s="118"/>
      <c r="H56" s="118"/>
      <c r="I56" s="119">
        <f>SUM(I43:I47)</f>
        <v>2064.3156448799996</v>
      </c>
      <c r="J56" s="119">
        <f t="shared" ref="J56:O56" si="15">SUM(J43:J47)</f>
        <v>2064.3156448799996</v>
      </c>
      <c r="K56" s="119">
        <f t="shared" si="15"/>
        <v>2064.3156448799996</v>
      </c>
      <c r="L56" s="119">
        <f t="shared" si="15"/>
        <v>2064.3156448799996</v>
      </c>
      <c r="M56" s="119">
        <f t="shared" si="15"/>
        <v>2064.3156448799996</v>
      </c>
      <c r="N56" s="119">
        <f t="shared" si="15"/>
        <v>2064.3156448799996</v>
      </c>
      <c r="O56" s="119">
        <f t="shared" si="15"/>
        <v>12385.893869279998</v>
      </c>
    </row>
    <row r="57" spans="1:15">
      <c r="A57" s="93" t="s">
        <v>124</v>
      </c>
      <c r="B57" s="175" t="s">
        <v>22</v>
      </c>
      <c r="C57" s="118"/>
      <c r="D57" s="118"/>
      <c r="E57" s="118"/>
      <c r="F57" s="118"/>
      <c r="G57" s="118"/>
      <c r="H57" s="118"/>
      <c r="I57" s="119">
        <f>I28+I29+I30+I34+I36+I37+I38+I39+I40+I41+I42+I48+I49+I50+I51+I52+I53</f>
        <v>37124.796664000009</v>
      </c>
      <c r="J57" s="119">
        <f t="shared" ref="J57:N57" si="16">J28+J29+J30+J34+J36+J37+J38+J39+J40+J41+J43+J44+J48+J42+J49+J50+J51+J52+J53</f>
        <v>37915.900788880012</v>
      </c>
      <c r="K57" s="119">
        <f t="shared" si="16"/>
        <v>37915.900788880012</v>
      </c>
      <c r="L57" s="119">
        <f t="shared" si="16"/>
        <v>37915.900788880012</v>
      </c>
      <c r="M57" s="119">
        <f t="shared" si="16"/>
        <v>37915.900788880012</v>
      </c>
      <c r="N57" s="119">
        <f t="shared" si="16"/>
        <v>37915.900788880012</v>
      </c>
      <c r="O57" s="144">
        <f>SUM(I57:N57)</f>
        <v>226704.30060840008</v>
      </c>
    </row>
    <row r="58" spans="1:15">
      <c r="A58" s="350" t="s">
        <v>125</v>
      </c>
      <c r="B58" s="178"/>
      <c r="C58" s="140"/>
      <c r="D58" s="140"/>
      <c r="E58" s="140"/>
      <c r="F58" s="140"/>
      <c r="G58" s="140"/>
      <c r="H58" s="140"/>
      <c r="I58" s="140"/>
      <c r="J58" s="140"/>
      <c r="K58" s="140"/>
      <c r="L58" s="140"/>
      <c r="M58" s="140"/>
      <c r="N58" s="140"/>
      <c r="O58" s="145"/>
    </row>
    <row r="59" spans="1:15">
      <c r="A59" s="77" t="s">
        <v>126</v>
      </c>
      <c r="B59" s="125" t="s">
        <v>39</v>
      </c>
      <c r="C59" s="68"/>
      <c r="D59" s="68"/>
      <c r="E59" s="68"/>
      <c r="F59" s="70" t="s">
        <v>127</v>
      </c>
      <c r="G59" s="141"/>
      <c r="H59" s="137">
        <v>0</v>
      </c>
      <c r="I59" s="72"/>
      <c r="J59" s="72"/>
      <c r="K59" s="72"/>
      <c r="L59" s="72"/>
      <c r="M59" s="72"/>
      <c r="N59" s="71"/>
      <c r="O59" s="143"/>
    </row>
    <row r="60" spans="1:15">
      <c r="A60" s="77" t="s">
        <v>128</v>
      </c>
      <c r="B60" s="125" t="s">
        <v>39</v>
      </c>
      <c r="C60" s="68"/>
      <c r="D60" s="68"/>
      <c r="E60" s="68"/>
      <c r="F60" s="70" t="s">
        <v>129</v>
      </c>
      <c r="G60" s="141"/>
      <c r="H60" s="137">
        <v>0</v>
      </c>
      <c r="I60" s="72"/>
      <c r="J60" s="72"/>
      <c r="K60" s="72"/>
      <c r="L60" s="72"/>
      <c r="M60" s="72"/>
      <c r="N60" s="71"/>
      <c r="O60" s="143"/>
    </row>
    <row r="61" spans="1:15" ht="28.9">
      <c r="A61" s="77" t="s">
        <v>130</v>
      </c>
      <c r="B61" s="125" t="s">
        <v>122</v>
      </c>
      <c r="C61" s="68"/>
      <c r="D61" s="68"/>
      <c r="E61" s="68"/>
      <c r="F61" s="70" t="s">
        <v>131</v>
      </c>
      <c r="G61" s="141"/>
      <c r="H61" s="137">
        <v>0</v>
      </c>
      <c r="I61" s="72">
        <f>H61*630</f>
        <v>0</v>
      </c>
      <c r="J61" s="72"/>
      <c r="K61" s="72"/>
      <c r="L61" s="72"/>
      <c r="M61" s="72"/>
      <c r="N61" s="71"/>
      <c r="O61" s="143"/>
    </row>
    <row r="62" spans="1:15" s="73" customFormat="1">
      <c r="A62" s="77" t="s">
        <v>132</v>
      </c>
      <c r="B62" s="125" t="s">
        <v>39</v>
      </c>
      <c r="C62" s="68"/>
      <c r="D62" s="68"/>
      <c r="E62" s="68"/>
      <c r="F62" s="70" t="s">
        <v>133</v>
      </c>
      <c r="G62" s="141">
        <v>1</v>
      </c>
      <c r="H62" s="137">
        <v>0</v>
      </c>
      <c r="I62" s="72">
        <f>430*H62</f>
        <v>0</v>
      </c>
      <c r="J62" s="72"/>
      <c r="K62" s="72"/>
      <c r="L62" s="72"/>
      <c r="M62" s="72"/>
      <c r="N62" s="72"/>
      <c r="O62" s="143"/>
    </row>
    <row r="63" spans="1:15" s="73" customFormat="1">
      <c r="A63" s="77" t="s">
        <v>134</v>
      </c>
      <c r="B63" s="125" t="s">
        <v>39</v>
      </c>
      <c r="C63" s="68"/>
      <c r="D63" s="68"/>
      <c r="E63" s="68"/>
      <c r="F63" s="94" t="s">
        <v>135</v>
      </c>
      <c r="G63" s="141">
        <v>1</v>
      </c>
      <c r="H63" s="137">
        <v>0</v>
      </c>
      <c r="I63" s="72">
        <f>H63*630</f>
        <v>0</v>
      </c>
      <c r="J63" s="72"/>
      <c r="K63" s="72"/>
      <c r="L63" s="72"/>
      <c r="M63" s="72"/>
      <c r="N63" s="72"/>
      <c r="O63" s="143"/>
    </row>
    <row r="64" spans="1:15" s="73" customFormat="1">
      <c r="A64" s="77" t="s">
        <v>136</v>
      </c>
      <c r="B64" s="125" t="s">
        <v>39</v>
      </c>
      <c r="C64" s="68"/>
      <c r="D64" s="68"/>
      <c r="E64" s="68"/>
      <c r="F64" s="94" t="s">
        <v>137</v>
      </c>
      <c r="G64" s="141">
        <v>1</v>
      </c>
      <c r="H64" s="137">
        <v>0</v>
      </c>
      <c r="I64" s="72">
        <f>H64*450</f>
        <v>0</v>
      </c>
      <c r="J64" s="72"/>
      <c r="K64" s="72"/>
      <c r="L64" s="72"/>
      <c r="M64" s="72"/>
      <c r="N64" s="72"/>
      <c r="O64" s="143"/>
    </row>
    <row r="65" spans="1:15" s="73" customFormat="1">
      <c r="A65" s="77" t="s">
        <v>138</v>
      </c>
      <c r="B65" s="125" t="s">
        <v>22</v>
      </c>
      <c r="C65" s="68"/>
      <c r="D65" s="68"/>
      <c r="E65" s="68"/>
      <c r="F65" s="70" t="s">
        <v>139</v>
      </c>
      <c r="G65" s="141">
        <v>1</v>
      </c>
      <c r="H65" s="137">
        <v>0</v>
      </c>
      <c r="I65" s="72">
        <f>H65*490</f>
        <v>0</v>
      </c>
      <c r="J65" s="72"/>
      <c r="K65" s="72"/>
      <c r="L65" s="72"/>
      <c r="M65" s="72"/>
      <c r="N65" s="72"/>
      <c r="O65" s="143"/>
    </row>
    <row r="66" spans="1:15" s="73" customFormat="1">
      <c r="A66" s="77" t="s">
        <v>140</v>
      </c>
      <c r="B66" s="125" t="s">
        <v>22</v>
      </c>
      <c r="C66" s="68"/>
      <c r="D66" s="68"/>
      <c r="E66" s="68"/>
      <c r="F66" s="70" t="s">
        <v>141</v>
      </c>
      <c r="G66" s="141"/>
      <c r="H66" s="137">
        <v>0</v>
      </c>
      <c r="I66" s="72">
        <f>H66*490</f>
        <v>0</v>
      </c>
      <c r="J66" s="72"/>
      <c r="K66" s="72"/>
      <c r="L66" s="72"/>
      <c r="M66" s="72"/>
      <c r="N66" s="72"/>
      <c r="O66" s="143"/>
    </row>
    <row r="67" spans="1:15" s="73" customFormat="1" ht="15" thickBot="1">
      <c r="A67" s="185" t="s">
        <v>142</v>
      </c>
      <c r="B67" s="173" t="s">
        <v>39</v>
      </c>
      <c r="C67" s="151"/>
      <c r="D67" s="151"/>
      <c r="E67" s="151"/>
      <c r="F67" s="152"/>
      <c r="G67" s="153"/>
      <c r="H67" s="154"/>
      <c r="I67" s="91"/>
      <c r="J67" s="91"/>
      <c r="K67" s="91"/>
      <c r="L67" s="91"/>
      <c r="M67" s="91"/>
      <c r="N67" s="91"/>
      <c r="O67" s="155"/>
    </row>
    <row r="68" spans="1:15" ht="28.9">
      <c r="A68" s="182"/>
      <c r="B68" s="174"/>
      <c r="C68" s="156"/>
      <c r="D68" s="156"/>
      <c r="E68" s="156"/>
      <c r="F68" s="157"/>
      <c r="G68" s="157"/>
      <c r="H68" s="156"/>
      <c r="I68" s="348" t="s">
        <v>143</v>
      </c>
      <c r="J68" s="348"/>
      <c r="K68" s="348"/>
      <c r="L68" s="348"/>
      <c r="M68" s="348"/>
      <c r="N68" s="348"/>
      <c r="O68" s="346"/>
    </row>
    <row r="69" spans="1:15">
      <c r="A69" s="93" t="s">
        <v>144</v>
      </c>
      <c r="B69" s="175" t="s">
        <v>122</v>
      </c>
      <c r="C69" s="118"/>
      <c r="D69" s="118"/>
      <c r="E69" s="118"/>
      <c r="F69" s="118"/>
      <c r="G69" s="118"/>
      <c r="H69" s="118"/>
      <c r="I69" s="119">
        <f>SUM(I59:I64)+I67</f>
        <v>0</v>
      </c>
      <c r="J69" s="134"/>
      <c r="K69" s="134"/>
      <c r="L69" s="134"/>
      <c r="M69" s="134"/>
      <c r="N69" s="134"/>
      <c r="O69" s="146"/>
    </row>
    <row r="70" spans="1:15" ht="15" thickBot="1">
      <c r="A70" s="120" t="s">
        <v>145</v>
      </c>
      <c r="B70" s="179" t="s">
        <v>22</v>
      </c>
      <c r="C70" s="147"/>
      <c r="D70" s="147"/>
      <c r="E70" s="147"/>
      <c r="F70" s="147"/>
      <c r="G70" s="147"/>
      <c r="H70" s="147"/>
      <c r="I70" s="148">
        <f>I65+I66</f>
        <v>0</v>
      </c>
      <c r="J70" s="149"/>
      <c r="K70" s="149"/>
      <c r="L70" s="149"/>
      <c r="M70" s="149"/>
      <c r="N70" s="149"/>
      <c r="O70" s="150"/>
    </row>
    <row r="71" spans="1:15" ht="29.45" thickBot="1">
      <c r="A71" s="330" t="s">
        <v>146</v>
      </c>
      <c r="B71" s="180"/>
      <c r="C71" s="180"/>
      <c r="D71" s="180"/>
      <c r="E71" s="180"/>
      <c r="F71" s="180" t="s">
        <v>147</v>
      </c>
      <c r="G71" s="180"/>
      <c r="H71" s="180"/>
      <c r="I71" s="330" t="s">
        <v>148</v>
      </c>
      <c r="J71" s="330" t="s">
        <v>149</v>
      </c>
      <c r="K71" s="330" t="s">
        <v>150</v>
      </c>
      <c r="L71" s="330" t="s">
        <v>151</v>
      </c>
      <c r="M71" s="330" t="s">
        <v>152</v>
      </c>
      <c r="N71" s="330" t="s">
        <v>153</v>
      </c>
      <c r="O71" s="347"/>
    </row>
    <row r="72" spans="1:15">
      <c r="A72" s="78" t="s">
        <v>154</v>
      </c>
      <c r="B72" s="125" t="s">
        <v>22</v>
      </c>
      <c r="C72" s="68"/>
      <c r="D72" s="68"/>
      <c r="E72" s="68"/>
      <c r="F72" s="70" t="s">
        <v>155</v>
      </c>
      <c r="G72" s="158"/>
      <c r="H72" s="159">
        <v>0</v>
      </c>
      <c r="I72" s="332">
        <f>'ACN Cloud'!H2*'ACN Costo Infra'!H72*R1</f>
        <v>0</v>
      </c>
      <c r="J72" s="332">
        <f>'ACN Cloud'!H2*'ACN Costo Infra'!H72*R1</f>
        <v>0</v>
      </c>
      <c r="K72" s="332"/>
      <c r="L72" s="332"/>
      <c r="M72" s="332"/>
      <c r="N72" s="332"/>
      <c r="O72" s="160">
        <f t="shared" ref="O72:O92" si="17">SUM(I72:N72)</f>
        <v>0</v>
      </c>
    </row>
    <row r="73" spans="1:15">
      <c r="A73" s="75" t="s">
        <v>156</v>
      </c>
      <c r="B73" s="125" t="s">
        <v>22</v>
      </c>
      <c r="C73" s="68"/>
      <c r="D73" s="68"/>
      <c r="E73" s="68"/>
      <c r="F73" s="70" t="s">
        <v>69</v>
      </c>
      <c r="G73" s="158"/>
      <c r="H73" s="159">
        <v>0</v>
      </c>
      <c r="I73" s="332">
        <f>'ACN Cloud'!H3*'ACN Costo Infra'!H73*R1</f>
        <v>0</v>
      </c>
      <c r="J73" s="332">
        <f>'ACN Cloud'!H3*'ACN Costo Infra'!H73*R1</f>
        <v>0</v>
      </c>
      <c r="K73" s="332"/>
      <c r="L73" s="332"/>
      <c r="M73" s="332"/>
      <c r="N73" s="332"/>
      <c r="O73" s="160">
        <f t="shared" si="17"/>
        <v>0</v>
      </c>
    </row>
    <row r="74" spans="1:15">
      <c r="A74" s="75" t="s">
        <v>157</v>
      </c>
      <c r="B74" s="125" t="s">
        <v>22</v>
      </c>
      <c r="C74" s="68"/>
      <c r="D74" s="68"/>
      <c r="E74" s="68"/>
      <c r="F74" s="70" t="s">
        <v>67</v>
      </c>
      <c r="G74" s="158"/>
      <c r="H74" s="159">
        <v>0</v>
      </c>
      <c r="I74" s="332">
        <f>'ACN Cloud'!H4*'ACN Costo Infra'!H74*R1</f>
        <v>0</v>
      </c>
      <c r="J74" s="332">
        <f>'ACN Cloud'!H4*'ACN Costo Infra'!H74*R1</f>
        <v>0</v>
      </c>
      <c r="K74" s="332"/>
      <c r="L74" s="332"/>
      <c r="M74" s="332"/>
      <c r="N74" s="332"/>
      <c r="O74" s="160">
        <f t="shared" si="17"/>
        <v>0</v>
      </c>
    </row>
    <row r="75" spans="1:15">
      <c r="A75" s="78" t="s">
        <v>158</v>
      </c>
      <c r="B75" s="125" t="s">
        <v>22</v>
      </c>
      <c r="C75" s="68"/>
      <c r="D75" s="68"/>
      <c r="E75" s="68"/>
      <c r="F75" s="70" t="s">
        <v>159</v>
      </c>
      <c r="G75" s="158"/>
      <c r="H75" s="159">
        <v>0</v>
      </c>
      <c r="I75" s="332">
        <f>'ACN Cloud'!H5*'ACN Costo Infra'!H75*R1</f>
        <v>0</v>
      </c>
      <c r="J75" s="332">
        <f>'ACN Cloud'!H5*'ACN Costo Infra'!H75*R1</f>
        <v>0</v>
      </c>
      <c r="K75" s="332"/>
      <c r="L75" s="332"/>
      <c r="M75" s="332"/>
      <c r="N75" s="332"/>
      <c r="O75" s="160">
        <f t="shared" si="17"/>
        <v>0</v>
      </c>
    </row>
    <row r="76" spans="1:15">
      <c r="A76" s="78" t="s">
        <v>160</v>
      </c>
      <c r="B76" s="125" t="s">
        <v>22</v>
      </c>
      <c r="C76" s="68"/>
      <c r="D76" s="68"/>
      <c r="E76" s="68"/>
      <c r="F76" s="70" t="s">
        <v>161</v>
      </c>
      <c r="G76" s="158"/>
      <c r="H76" s="159">
        <v>0</v>
      </c>
      <c r="I76" s="332">
        <f>'ACN Cloud'!H6*'ACN Costo Infra'!H76*R1</f>
        <v>0</v>
      </c>
      <c r="J76" s="332">
        <f>'ACN Cloud'!H6*'ACN Costo Infra'!H76*R1</f>
        <v>0</v>
      </c>
      <c r="K76" s="332"/>
      <c r="L76" s="332"/>
      <c r="M76" s="332"/>
      <c r="N76" s="332"/>
      <c r="O76" s="160">
        <f t="shared" si="17"/>
        <v>0</v>
      </c>
    </row>
    <row r="77" spans="1:15">
      <c r="A77" s="78" t="s">
        <v>162</v>
      </c>
      <c r="B77" s="125" t="s">
        <v>22</v>
      </c>
      <c r="C77" s="68"/>
      <c r="D77" s="68"/>
      <c r="E77" s="68"/>
      <c r="F77" s="70" t="s">
        <v>163</v>
      </c>
      <c r="G77" s="158"/>
      <c r="H77" s="159">
        <v>0</v>
      </c>
      <c r="I77" s="332">
        <f>'ACN Cloud'!H7*'ACN Costo Infra'!H77*R1</f>
        <v>0</v>
      </c>
      <c r="J77" s="332">
        <f>'ACN Cloud'!H7*'ACN Costo Infra'!H77*R1</f>
        <v>0</v>
      </c>
      <c r="K77" s="332"/>
      <c r="L77" s="332"/>
      <c r="M77" s="332"/>
      <c r="N77" s="332"/>
      <c r="O77" s="160">
        <f t="shared" si="17"/>
        <v>0</v>
      </c>
    </row>
    <row r="78" spans="1:15">
      <c r="A78" s="78" t="s">
        <v>164</v>
      </c>
      <c r="B78" s="125" t="s">
        <v>22</v>
      </c>
      <c r="C78" s="68"/>
      <c r="D78" s="68"/>
      <c r="E78" s="68"/>
      <c r="F78" s="70" t="s">
        <v>165</v>
      </c>
      <c r="G78" s="158"/>
      <c r="H78" s="159">
        <v>0</v>
      </c>
      <c r="I78" s="332">
        <f>'ACN Cloud'!H8*'ACN Costo Infra'!H78*R1</f>
        <v>0</v>
      </c>
      <c r="J78" s="332">
        <f>'ACN Cloud'!H8*'ACN Costo Infra'!H78*R1</f>
        <v>0</v>
      </c>
      <c r="K78" s="332"/>
      <c r="L78" s="332"/>
      <c r="M78" s="332"/>
      <c r="N78" s="332"/>
      <c r="O78" s="160">
        <f t="shared" si="17"/>
        <v>0</v>
      </c>
    </row>
    <row r="79" spans="1:15">
      <c r="A79" s="78" t="s">
        <v>166</v>
      </c>
      <c r="B79" s="125" t="s">
        <v>22</v>
      </c>
      <c r="C79" s="68"/>
      <c r="D79" s="68"/>
      <c r="E79" s="68"/>
      <c r="F79" s="70" t="s">
        <v>167</v>
      </c>
      <c r="G79" s="158"/>
      <c r="H79" s="159">
        <v>0</v>
      </c>
      <c r="I79" s="332">
        <f>'ACN Cloud'!H9*'ACN Costo Infra'!H79*R1</f>
        <v>0</v>
      </c>
      <c r="J79" s="332">
        <f>'ACN Cloud'!H9*'ACN Costo Infra'!H79*R1</f>
        <v>0</v>
      </c>
      <c r="K79" s="332"/>
      <c r="L79" s="332"/>
      <c r="M79" s="332"/>
      <c r="N79" s="332"/>
      <c r="O79" s="160">
        <f t="shared" si="17"/>
        <v>0</v>
      </c>
    </row>
    <row r="80" spans="1:15">
      <c r="A80" s="78" t="s">
        <v>168</v>
      </c>
      <c r="B80" s="125" t="s">
        <v>22</v>
      </c>
      <c r="C80" s="68"/>
      <c r="D80" s="68"/>
      <c r="E80" s="68"/>
      <c r="F80" s="70" t="s">
        <v>169</v>
      </c>
      <c r="G80" s="158"/>
      <c r="H80" s="159">
        <v>0</v>
      </c>
      <c r="I80" s="332">
        <f>'ACN Cloud'!H10*'ACN Costo Infra'!H80*R1</f>
        <v>0</v>
      </c>
      <c r="J80" s="332">
        <f>'ACN Cloud'!H10*'ACN Costo Infra'!H80*R1</f>
        <v>0</v>
      </c>
      <c r="K80" s="332"/>
      <c r="L80" s="332"/>
      <c r="M80" s="332"/>
      <c r="N80" s="332"/>
      <c r="O80" s="160">
        <f t="shared" si="17"/>
        <v>0</v>
      </c>
    </row>
    <row r="81" spans="1:15">
      <c r="A81" s="78" t="s">
        <v>170</v>
      </c>
      <c r="B81" s="125" t="s">
        <v>22</v>
      </c>
      <c r="C81" s="68"/>
      <c r="D81" s="68"/>
      <c r="E81" s="68"/>
      <c r="F81" s="70" t="s">
        <v>171</v>
      </c>
      <c r="G81" s="158"/>
      <c r="H81" s="159">
        <v>0</v>
      </c>
      <c r="I81" s="332">
        <f>'ACN Cloud'!H11*'ACN Costo Infra'!H81*R1</f>
        <v>0</v>
      </c>
      <c r="J81" s="332">
        <f>'ACN Cloud'!H11*'ACN Costo Infra'!H81*R1</f>
        <v>0</v>
      </c>
      <c r="K81" s="332"/>
      <c r="L81" s="332"/>
      <c r="M81" s="332"/>
      <c r="N81" s="332"/>
      <c r="O81" s="160">
        <f t="shared" si="17"/>
        <v>0</v>
      </c>
    </row>
    <row r="82" spans="1:15">
      <c r="A82" s="78" t="s">
        <v>172</v>
      </c>
      <c r="B82" s="125" t="s">
        <v>22</v>
      </c>
      <c r="C82" s="68"/>
      <c r="D82" s="68"/>
      <c r="E82" s="68"/>
      <c r="F82" s="70" t="s">
        <v>173</v>
      </c>
      <c r="G82" s="158"/>
      <c r="H82" s="159">
        <v>0</v>
      </c>
      <c r="I82" s="332">
        <f>'ACN Cloud'!H12*'ACN Costo Infra'!H82*R1</f>
        <v>0</v>
      </c>
      <c r="J82" s="332">
        <f>'ACN Cloud'!H12*'ACN Costo Infra'!H82*R1</f>
        <v>0</v>
      </c>
      <c r="K82" s="332"/>
      <c r="L82" s="332"/>
      <c r="M82" s="332"/>
      <c r="N82" s="332"/>
      <c r="O82" s="160">
        <f t="shared" si="17"/>
        <v>0</v>
      </c>
    </row>
    <row r="83" spans="1:15">
      <c r="A83" s="78" t="s">
        <v>174</v>
      </c>
      <c r="B83" s="125" t="s">
        <v>22</v>
      </c>
      <c r="C83" s="68"/>
      <c r="D83" s="68"/>
      <c r="E83" s="68"/>
      <c r="F83" s="70" t="s">
        <v>175</v>
      </c>
      <c r="G83" s="158"/>
      <c r="H83" s="159">
        <v>0</v>
      </c>
      <c r="I83" s="332">
        <f>'ACN Cloud'!H13*'ACN Costo Infra'!H83*R1</f>
        <v>0</v>
      </c>
      <c r="J83" s="332">
        <f>'ACN Cloud'!H13*'ACN Costo Infra'!H83*R1</f>
        <v>0</v>
      </c>
      <c r="K83" s="332"/>
      <c r="L83" s="332"/>
      <c r="M83" s="332"/>
      <c r="N83" s="332"/>
      <c r="O83" s="160">
        <f t="shared" si="17"/>
        <v>0</v>
      </c>
    </row>
    <row r="84" spans="1:15">
      <c r="A84" s="78" t="s">
        <v>176</v>
      </c>
      <c r="B84" s="125" t="s">
        <v>22</v>
      </c>
      <c r="C84" s="68"/>
      <c r="D84" s="68"/>
      <c r="E84" s="68"/>
      <c r="F84" s="70" t="s">
        <v>177</v>
      </c>
      <c r="G84" s="158"/>
      <c r="H84" s="159">
        <v>0</v>
      </c>
      <c r="I84" s="332">
        <f>'ACN Cloud'!H14*'ACN Costo Infra'!H84*R1</f>
        <v>0</v>
      </c>
      <c r="J84" s="332">
        <f>'ACN Cloud'!H14*'ACN Costo Infra'!H84*R1</f>
        <v>0</v>
      </c>
      <c r="K84" s="332"/>
      <c r="L84" s="332"/>
      <c r="M84" s="332"/>
      <c r="N84" s="332"/>
      <c r="O84" s="160">
        <f t="shared" si="17"/>
        <v>0</v>
      </c>
    </row>
    <row r="85" spans="1:15">
      <c r="A85" s="78" t="s">
        <v>178</v>
      </c>
      <c r="B85" s="125" t="s">
        <v>22</v>
      </c>
      <c r="C85" s="68"/>
      <c r="D85" s="68"/>
      <c r="E85" s="68"/>
      <c r="F85" s="70" t="s">
        <v>179</v>
      </c>
      <c r="G85" s="158"/>
      <c r="H85" s="159">
        <v>0</v>
      </c>
      <c r="I85" s="332">
        <f>'ACN Cloud'!H15*'ACN Costo Infra'!H85*R1</f>
        <v>0</v>
      </c>
      <c r="J85" s="332">
        <f>'ACN Cloud'!H15*'ACN Costo Infra'!H85*R1</f>
        <v>0</v>
      </c>
      <c r="K85" s="332"/>
      <c r="L85" s="332"/>
      <c r="M85" s="332"/>
      <c r="N85" s="332"/>
      <c r="O85" s="160">
        <f t="shared" si="17"/>
        <v>0</v>
      </c>
    </row>
    <row r="86" spans="1:15">
      <c r="A86" s="78" t="s">
        <v>180</v>
      </c>
      <c r="B86" s="125" t="s">
        <v>22</v>
      </c>
      <c r="C86" s="68"/>
      <c r="D86" s="68"/>
      <c r="E86" s="68"/>
      <c r="F86" s="70" t="s">
        <v>179</v>
      </c>
      <c r="G86" s="158"/>
      <c r="H86" s="159">
        <v>0</v>
      </c>
      <c r="I86" s="332">
        <f>'ACN Cloud'!H16*'ACN Costo Infra'!H86*R1</f>
        <v>0</v>
      </c>
      <c r="J86" s="332">
        <f>'ACN Cloud'!H16*'ACN Costo Infra'!H86*R1</f>
        <v>0</v>
      </c>
      <c r="K86" s="332"/>
      <c r="L86" s="332"/>
      <c r="M86" s="332"/>
      <c r="N86" s="332"/>
      <c r="O86" s="160">
        <f t="shared" si="17"/>
        <v>0</v>
      </c>
    </row>
    <row r="87" spans="1:15">
      <c r="A87" s="78" t="s">
        <v>181</v>
      </c>
      <c r="B87" s="125" t="s">
        <v>22</v>
      </c>
      <c r="C87" s="68"/>
      <c r="D87" s="68"/>
      <c r="E87" s="68"/>
      <c r="F87" s="70" t="s">
        <v>182</v>
      </c>
      <c r="G87" s="158"/>
      <c r="H87" s="159">
        <v>0</v>
      </c>
      <c r="I87" s="332">
        <f>'ACN Cloud'!H17*'ACN Costo Infra'!H87*R1</f>
        <v>0</v>
      </c>
      <c r="J87" s="332">
        <f>'ACN Cloud'!H17*'ACN Costo Infra'!H87*R1</f>
        <v>0</v>
      </c>
      <c r="K87" s="332"/>
      <c r="L87" s="332"/>
      <c r="M87" s="332"/>
      <c r="N87" s="332"/>
      <c r="O87" s="160">
        <f t="shared" si="17"/>
        <v>0</v>
      </c>
    </row>
    <row r="88" spans="1:15">
      <c r="A88" s="78" t="s">
        <v>183</v>
      </c>
      <c r="B88" s="125" t="s">
        <v>22</v>
      </c>
      <c r="C88" s="68"/>
      <c r="D88" s="68"/>
      <c r="E88" s="68"/>
      <c r="F88" s="70" t="s">
        <v>184</v>
      </c>
      <c r="G88" s="158"/>
      <c r="H88" s="159">
        <v>0</v>
      </c>
      <c r="I88" s="332">
        <f>'ACN Cloud'!H18*'ACN Costo Infra'!H88*R1</f>
        <v>0</v>
      </c>
      <c r="J88" s="332">
        <f>'ACN Cloud'!H18*'ACN Costo Infra'!H88*R1</f>
        <v>0</v>
      </c>
      <c r="K88" s="332"/>
      <c r="L88" s="332"/>
      <c r="M88" s="332"/>
      <c r="N88" s="332"/>
      <c r="O88" s="160">
        <f t="shared" si="17"/>
        <v>0</v>
      </c>
    </row>
    <row r="89" spans="1:15">
      <c r="A89" s="78" t="s">
        <v>185</v>
      </c>
      <c r="B89" s="125" t="s">
        <v>22</v>
      </c>
      <c r="C89" s="68"/>
      <c r="D89" s="68"/>
      <c r="E89" s="68"/>
      <c r="F89" s="70" t="s">
        <v>184</v>
      </c>
      <c r="G89" s="158"/>
      <c r="H89" s="159">
        <v>0</v>
      </c>
      <c r="I89" s="332">
        <f>'ACN Cloud'!H19*'ACN Costo Infra'!H89*R1</f>
        <v>0</v>
      </c>
      <c r="J89" s="332">
        <f>'ACN Cloud'!H19*'ACN Costo Infra'!H89*R1</f>
        <v>0</v>
      </c>
      <c r="K89" s="332"/>
      <c r="L89" s="332"/>
      <c r="M89" s="332"/>
      <c r="N89" s="332"/>
      <c r="O89" s="160">
        <f t="shared" si="17"/>
        <v>0</v>
      </c>
    </row>
    <row r="90" spans="1:15">
      <c r="A90" s="78" t="s">
        <v>186</v>
      </c>
      <c r="B90" s="125" t="s">
        <v>22</v>
      </c>
      <c r="C90" s="68"/>
      <c r="D90" s="68"/>
      <c r="E90" s="68"/>
      <c r="F90" s="70" t="s">
        <v>187</v>
      </c>
      <c r="G90" s="158"/>
      <c r="H90" s="159">
        <v>0</v>
      </c>
      <c r="I90" s="332">
        <f>'ACN Cloud'!H20*'ACN Costo Infra'!H90*R1</f>
        <v>0</v>
      </c>
      <c r="J90" s="332">
        <f>'ACN Cloud'!H20*'ACN Costo Infra'!H90*R1</f>
        <v>0</v>
      </c>
      <c r="K90" s="332"/>
      <c r="L90" s="332"/>
      <c r="M90" s="332"/>
      <c r="N90" s="332"/>
      <c r="O90" s="160">
        <f t="shared" si="17"/>
        <v>0</v>
      </c>
    </row>
    <row r="91" spans="1:15">
      <c r="A91" s="78" t="s">
        <v>188</v>
      </c>
      <c r="B91" s="125" t="s">
        <v>22</v>
      </c>
      <c r="C91" s="68"/>
      <c r="D91" s="68"/>
      <c r="E91" s="68"/>
      <c r="F91" s="70" t="s">
        <v>165</v>
      </c>
      <c r="G91" s="158"/>
      <c r="H91" s="159">
        <v>0</v>
      </c>
      <c r="I91" s="332">
        <f>'ACN Cloud'!H21*'ACN Costo Infra'!H91*R1</f>
        <v>0</v>
      </c>
      <c r="J91" s="332">
        <f>'ACN Cloud'!H21*'ACN Costo Infra'!H91*R1</f>
        <v>0</v>
      </c>
      <c r="K91" s="332"/>
      <c r="L91" s="332"/>
      <c r="M91" s="332"/>
      <c r="N91" s="332"/>
      <c r="O91" s="160">
        <f t="shared" si="17"/>
        <v>0</v>
      </c>
    </row>
    <row r="92" spans="1:15" ht="15" thickBot="1">
      <c r="A92" s="78" t="s">
        <v>189</v>
      </c>
      <c r="B92" s="125" t="s">
        <v>22</v>
      </c>
      <c r="C92" s="68"/>
      <c r="D92" s="68"/>
      <c r="E92" s="68"/>
      <c r="F92" s="70" t="s">
        <v>190</v>
      </c>
      <c r="G92" s="158"/>
      <c r="H92" s="159">
        <v>0</v>
      </c>
      <c r="I92" s="332">
        <f>'ACN Cloud'!H22*'ACN Costo Infra'!H92*R1</f>
        <v>0</v>
      </c>
      <c r="J92" s="332">
        <f>'ACN Cloud'!H22*'ACN Costo Infra'!H92*R1</f>
        <v>0</v>
      </c>
      <c r="K92" s="332"/>
      <c r="L92" s="332"/>
      <c r="M92" s="332"/>
      <c r="N92" s="332"/>
      <c r="O92" s="160">
        <f t="shared" si="17"/>
        <v>0</v>
      </c>
    </row>
    <row r="93" spans="1:15">
      <c r="A93" s="182"/>
      <c r="B93" s="174"/>
      <c r="C93" s="156"/>
      <c r="D93" s="156"/>
      <c r="E93" s="156"/>
      <c r="F93" s="157"/>
      <c r="G93" s="157"/>
      <c r="H93" s="156"/>
      <c r="I93" s="348" t="s">
        <v>25</v>
      </c>
      <c r="J93" s="348" t="s">
        <v>26</v>
      </c>
      <c r="K93" s="348" t="s">
        <v>27</v>
      </c>
      <c r="L93" s="348" t="s">
        <v>28</v>
      </c>
      <c r="M93" s="348" t="s">
        <v>29</v>
      </c>
      <c r="N93" s="348" t="s">
        <v>30</v>
      </c>
      <c r="O93" s="346" t="s">
        <v>31</v>
      </c>
    </row>
    <row r="94" spans="1:15">
      <c r="A94" s="93" t="s">
        <v>191</v>
      </c>
      <c r="B94" s="175" t="s">
        <v>75</v>
      </c>
      <c r="C94" s="118"/>
      <c r="D94" s="118"/>
      <c r="E94" s="118"/>
      <c r="F94" s="118"/>
      <c r="G94" s="118"/>
      <c r="H94" s="118"/>
      <c r="I94" s="119">
        <f>SUM(I72:I92)</f>
        <v>0</v>
      </c>
      <c r="J94" s="119">
        <f>SUM(J72:J92)</f>
        <v>0</v>
      </c>
      <c r="K94" s="119">
        <f t="shared" ref="K94:N94" si="18">SUM(K72:K92)</f>
        <v>0</v>
      </c>
      <c r="L94" s="119">
        <f t="shared" si="18"/>
        <v>0</v>
      </c>
      <c r="M94" s="119">
        <f t="shared" si="18"/>
        <v>0</v>
      </c>
      <c r="N94" s="119">
        <f t="shared" si="18"/>
        <v>0</v>
      </c>
      <c r="O94" s="119">
        <f>SUM(O72:O92)</f>
        <v>0</v>
      </c>
    </row>
  </sheetData>
  <phoneticPr fontId="71" type="noConversion"/>
  <pageMargins left="0.7" right="0.7" top="0.75" bottom="0.75" header="0.3" footer="0.3"/>
  <pageSetup paperSize="9" orientation="portrait" horizontalDpi="90" verticalDpi="90" r:id="rId1"/>
  <headerFooter>
    <oddFooter>&amp;C_x000D_&amp;1#&amp;"Aptos"&amp;10&amp;K3CB371 Crédit Agricole Italia - Pubblico</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23"/>
  <sheetViews>
    <sheetView zoomScaleNormal="100" workbookViewId="0">
      <selection activeCell="F28" sqref="F28"/>
    </sheetView>
  </sheetViews>
  <sheetFormatPr defaultRowHeight="14.45"/>
  <cols>
    <col min="1" max="1" width="37.42578125" bestFit="1" customWidth="1"/>
    <col min="2" max="2" width="9.140625" bestFit="1" customWidth="1"/>
    <col min="3" max="3" width="24.140625" bestFit="1" customWidth="1"/>
    <col min="4" max="4" width="27.7109375" bestFit="1" customWidth="1"/>
    <col min="6" max="6" width="15.85546875" customWidth="1"/>
  </cols>
  <sheetData>
    <row r="1" spans="1:6" ht="15" thickBot="1">
      <c r="A1" s="366" t="s">
        <v>192</v>
      </c>
      <c r="B1" s="367"/>
      <c r="C1" s="367"/>
      <c r="D1" s="367"/>
    </row>
    <row r="2" spans="1:6">
      <c r="A2" s="101" t="s">
        <v>193</v>
      </c>
      <c r="B2" s="101" t="s">
        <v>194</v>
      </c>
      <c r="C2" s="101" t="s">
        <v>195</v>
      </c>
      <c r="D2" s="101" t="s">
        <v>196</v>
      </c>
      <c r="F2" s="303" t="s">
        <v>197</v>
      </c>
    </row>
    <row r="3" spans="1:6">
      <c r="A3" s="93" t="s">
        <v>144</v>
      </c>
      <c r="B3" s="93" t="s">
        <v>122</v>
      </c>
      <c r="C3" s="96">
        <f>'ACN Costo Infra'!I69</f>
        <v>0</v>
      </c>
      <c r="D3" s="93"/>
      <c r="F3" s="93">
        <v>6</v>
      </c>
    </row>
    <row r="4" spans="1:6">
      <c r="A4" s="93" t="s">
        <v>145</v>
      </c>
      <c r="B4" s="93" t="s">
        <v>22</v>
      </c>
      <c r="C4" s="96">
        <f>'ACN Costo Infra'!I70</f>
        <v>0</v>
      </c>
      <c r="D4" s="93"/>
    </row>
    <row r="5" spans="1:6">
      <c r="A5" s="93" t="s">
        <v>121</v>
      </c>
      <c r="B5" s="93" t="s">
        <v>122</v>
      </c>
      <c r="C5" s="96">
        <f>'ACN Costo Infra'!I55</f>
        <v>0</v>
      </c>
      <c r="D5" s="93"/>
    </row>
    <row r="6" spans="1:6">
      <c r="A6" s="93" t="s">
        <v>123</v>
      </c>
      <c r="B6" s="93" t="s">
        <v>75</v>
      </c>
      <c r="C6" s="96">
        <f>'ACN Costo Infra'!I56</f>
        <v>2064.3156448799996</v>
      </c>
      <c r="D6" s="96">
        <f>'ACN Costo Infra'!J56</f>
        <v>2064.3156448799996</v>
      </c>
    </row>
    <row r="7" spans="1:6">
      <c r="A7" s="93" t="s">
        <v>124</v>
      </c>
      <c r="B7" s="93" t="s">
        <v>22</v>
      </c>
      <c r="C7" s="96">
        <f>'ACN Costo Infra'!I57</f>
        <v>37124.796664000009</v>
      </c>
      <c r="D7" s="96">
        <f>'ACN Costo Infra'!J57</f>
        <v>37915.900788880012</v>
      </c>
    </row>
    <row r="8" spans="1:6" ht="15" thickBot="1">
      <c r="A8" s="120" t="s">
        <v>74</v>
      </c>
      <c r="B8" s="120" t="s">
        <v>75</v>
      </c>
      <c r="C8" s="121">
        <f>'ACN Costo Infra'!I26</f>
        <v>18483.017080000001</v>
      </c>
      <c r="D8" s="121">
        <f>'ACN Costo Infra'!J26</f>
        <v>9678.137999999999</v>
      </c>
    </row>
    <row r="9" spans="1:6" ht="15" thickBot="1">
      <c r="A9" s="120" t="s">
        <v>198</v>
      </c>
      <c r="B9" s="120" t="s">
        <v>75</v>
      </c>
      <c r="C9" s="121">
        <f>'ACN Costo Infra'!I94</f>
        <v>0</v>
      </c>
      <c r="D9" s="121">
        <f>'ACN Costo Infra'!J94</f>
        <v>0</v>
      </c>
    </row>
    <row r="10" spans="1:6" ht="15" thickBot="1"/>
    <row r="11" spans="1:6" ht="15" thickBot="1">
      <c r="A11" s="122" t="s">
        <v>199</v>
      </c>
      <c r="B11" s="123"/>
      <c r="C11" s="124">
        <f>SUM(C3:C8)</f>
        <v>57672.129388880014</v>
      </c>
      <c r="D11" s="356">
        <f>SUM(D6:D10)</f>
        <v>49658.354433760011</v>
      </c>
    </row>
    <row r="13" spans="1:6" ht="15" thickBot="1">
      <c r="A13" s="366" t="s">
        <v>200</v>
      </c>
      <c r="B13" s="367"/>
      <c r="C13" s="367"/>
      <c r="D13" s="367"/>
    </row>
    <row r="14" spans="1:6">
      <c r="A14" s="101" t="s">
        <v>193</v>
      </c>
      <c r="B14" s="101" t="s">
        <v>194</v>
      </c>
      <c r="C14" s="101" t="s">
        <v>195</v>
      </c>
      <c r="D14" s="101" t="s">
        <v>196</v>
      </c>
    </row>
    <row r="15" spans="1:6">
      <c r="A15" s="93" t="s">
        <v>144</v>
      </c>
      <c r="B15" s="93" t="s">
        <v>122</v>
      </c>
      <c r="C15" s="96">
        <f>C3</f>
        <v>0</v>
      </c>
      <c r="D15" s="93"/>
    </row>
    <row r="16" spans="1:6">
      <c r="A16" s="93" t="s">
        <v>145</v>
      </c>
      <c r="B16" s="93" t="s">
        <v>22</v>
      </c>
      <c r="C16" s="96">
        <f t="shared" ref="C16:C17" si="0">C4</f>
        <v>0</v>
      </c>
      <c r="D16" s="93"/>
    </row>
    <row r="17" spans="1:4">
      <c r="A17" s="93" t="s">
        <v>121</v>
      </c>
      <c r="B17" s="93" t="s">
        <v>122</v>
      </c>
      <c r="C17" s="96">
        <f t="shared" si="0"/>
        <v>0</v>
      </c>
      <c r="D17" s="93"/>
    </row>
    <row r="18" spans="1:4">
      <c r="A18" s="93" t="s">
        <v>123</v>
      </c>
      <c r="B18" s="93" t="s">
        <v>75</v>
      </c>
      <c r="C18" s="96">
        <f>(C6/12)*$F$3</f>
        <v>1032.1578224399998</v>
      </c>
      <c r="D18" s="96">
        <f>D6</f>
        <v>2064.3156448799996</v>
      </c>
    </row>
    <row r="19" spans="1:4">
      <c r="A19" s="93" t="s">
        <v>124</v>
      </c>
      <c r="B19" s="93" t="s">
        <v>22</v>
      </c>
      <c r="C19" s="96">
        <f>(C7/12)*$F$3</f>
        <v>18562.398332000004</v>
      </c>
      <c r="D19" s="96">
        <f>D7</f>
        <v>37915.900788880012</v>
      </c>
    </row>
    <row r="20" spans="1:4" ht="15" thickBot="1">
      <c r="A20" s="120" t="s">
        <v>74</v>
      </c>
      <c r="B20" s="120" t="s">
        <v>75</v>
      </c>
      <c r="C20" s="96">
        <f>(C8/12)*$F$3</f>
        <v>9241.5085400000007</v>
      </c>
      <c r="D20" s="121">
        <f>D8</f>
        <v>9678.137999999999</v>
      </c>
    </row>
    <row r="21" spans="1:4" ht="15" thickBot="1">
      <c r="A21" s="120" t="s">
        <v>198</v>
      </c>
      <c r="B21" s="120" t="s">
        <v>75</v>
      </c>
      <c r="C21" s="96">
        <f>(C9/12)*$F$3</f>
        <v>0</v>
      </c>
      <c r="D21" s="121">
        <f>D9</f>
        <v>0</v>
      </c>
    </row>
    <row r="22" spans="1:4" ht="15" thickBot="1"/>
    <row r="23" spans="1:4" ht="15" thickBot="1">
      <c r="A23" s="122" t="s">
        <v>199</v>
      </c>
      <c r="B23" s="123"/>
      <c r="C23" s="124">
        <f>SUM(C15:C21)</f>
        <v>28836.064694440007</v>
      </c>
      <c r="D23" s="124">
        <f>SUM(D15:D21)</f>
        <v>49658.354433760011</v>
      </c>
    </row>
  </sheetData>
  <mergeCells count="2">
    <mergeCell ref="A1:D1"/>
    <mergeCell ref="A13:D13"/>
  </mergeCells>
  <pageMargins left="0.7" right="0.7" top="0.75" bottom="0.75" header="0.3" footer="0.3"/>
  <pageSetup paperSize="9" orientation="portrait" r:id="rId1"/>
  <headerFooter>
    <oddFooter>&amp;C_x000D_&amp;1#&amp;"Aptos"&amp;10&amp;K3CB371 Crédit Agricole Italia - Pubblico</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E30"/>
  <sheetViews>
    <sheetView topLeftCell="F19" zoomScale="85" zoomScaleNormal="85" workbookViewId="0">
      <selection activeCell="O19" sqref="O19"/>
    </sheetView>
  </sheetViews>
  <sheetFormatPr defaultColWidth="8.5703125" defaultRowHeight="45" customHeight="1"/>
  <cols>
    <col min="1" max="1" width="4.7109375" style="194" customWidth="1"/>
    <col min="2" max="2" width="4.5703125" style="194" customWidth="1"/>
    <col min="3" max="3" width="4.7109375" style="194" customWidth="1"/>
    <col min="4" max="5" width="5.7109375" style="194" customWidth="1"/>
    <col min="6" max="6" width="5.5703125" style="194" customWidth="1"/>
    <col min="7" max="7" width="15.28515625" style="245" bestFit="1" customWidth="1"/>
    <col min="8" max="8" width="18.5703125" style="244" customWidth="1"/>
    <col min="9" max="9" width="21.5703125" style="73" bestFit="1" customWidth="1"/>
    <col min="10" max="10" width="26.28515625" style="224" bestFit="1" customWidth="1"/>
    <col min="11" max="11" width="15.140625" style="240" bestFit="1" customWidth="1"/>
    <col min="12" max="12" width="21.140625" style="226" customWidth="1"/>
    <col min="13" max="13" width="26.5703125" style="226" customWidth="1"/>
    <col min="14" max="14" width="25.7109375" style="227" customWidth="1"/>
    <col min="15" max="15" width="31.7109375" style="227" bestFit="1" customWidth="1"/>
    <col min="16" max="16" width="23.5703125" style="194" bestFit="1" customWidth="1"/>
    <col min="17" max="17" width="14.7109375" style="227" bestFit="1" customWidth="1"/>
    <col min="18" max="18" width="14.85546875" style="226" bestFit="1" customWidth="1"/>
    <col min="19" max="19" width="16.28515625" style="235" hidden="1" customWidth="1"/>
    <col min="20" max="21" width="11.7109375" hidden="1" customWidth="1"/>
    <col min="22" max="22" width="16.28515625" style="194" bestFit="1" customWidth="1"/>
    <col min="23" max="23" width="15.28515625" style="244" bestFit="1" customWidth="1"/>
    <col min="24" max="24" width="21.28515625" style="73" bestFit="1" customWidth="1"/>
    <col min="25" max="25" width="28.85546875" style="73" bestFit="1" customWidth="1"/>
    <col min="26" max="26" width="13.5703125" style="73" customWidth="1"/>
    <col min="27" max="27" width="16.5703125" style="73" bestFit="1" customWidth="1"/>
    <col min="28" max="28" width="19" style="73" bestFit="1" customWidth="1"/>
    <col min="29" max="29" width="14" style="73" bestFit="1" customWidth="1"/>
    <col min="30" max="30" width="16.28515625" style="73" bestFit="1" customWidth="1"/>
    <col min="31" max="31" width="9.140625" style="73" bestFit="1" customWidth="1"/>
    <col min="32" max="16384" width="8.5703125" style="73"/>
  </cols>
  <sheetData>
    <row r="1" spans="1:25" ht="46.9">
      <c r="B1" s="384" t="s">
        <v>201</v>
      </c>
      <c r="C1" s="384"/>
      <c r="D1" s="384"/>
      <c r="E1" s="384"/>
      <c r="F1" s="195"/>
      <c r="G1" s="196" t="s">
        <v>202</v>
      </c>
      <c r="H1" s="196" t="s">
        <v>203</v>
      </c>
      <c r="I1" s="196" t="s">
        <v>204</v>
      </c>
      <c r="J1" s="196" t="s">
        <v>205</v>
      </c>
      <c r="K1" s="196" t="s">
        <v>206</v>
      </c>
      <c r="L1" s="196" t="s">
        <v>207</v>
      </c>
      <c r="M1" s="196" t="s">
        <v>208</v>
      </c>
      <c r="N1" s="197" t="s">
        <v>209</v>
      </c>
      <c r="O1" s="197" t="s">
        <v>210</v>
      </c>
      <c r="P1" s="197" t="s">
        <v>211</v>
      </c>
      <c r="Q1" s="196" t="s">
        <v>212</v>
      </c>
      <c r="R1" s="198" t="s">
        <v>213</v>
      </c>
      <c r="S1" s="199" t="s">
        <v>214</v>
      </c>
      <c r="T1" s="199" t="s">
        <v>215</v>
      </c>
      <c r="U1" s="200"/>
      <c r="V1" s="199" t="s">
        <v>216</v>
      </c>
      <c r="W1" s="199" t="s">
        <v>217</v>
      </c>
      <c r="X1" s="197" t="s">
        <v>218</v>
      </c>
      <c r="Y1" s="196" t="s">
        <v>219</v>
      </c>
    </row>
    <row r="2" spans="1:25" ht="19.149999999999999" customHeight="1">
      <c r="B2" s="385">
        <v>2026</v>
      </c>
      <c r="C2" s="385"/>
      <c r="D2" s="385"/>
      <c r="E2" s="385"/>
      <c r="F2" s="195"/>
      <c r="G2" s="374" t="s">
        <v>220</v>
      </c>
      <c r="H2" s="377">
        <v>100000</v>
      </c>
      <c r="I2" s="377">
        <v>100000</v>
      </c>
      <c r="J2" s="381">
        <f>I2/H2</f>
        <v>1</v>
      </c>
      <c r="K2" s="368">
        <f>SUMIFS(Z18:Z28,K18:K28,G2,C18:C28,C17)</f>
        <v>0</v>
      </c>
      <c r="L2" s="368">
        <f>SUMIFS(Z18:Z28,K18:K28,G2,B18:B28,B17)</f>
        <v>0</v>
      </c>
      <c r="M2" s="371">
        <f>I2-K2</f>
        <v>100000</v>
      </c>
      <c r="N2" s="201" t="s">
        <v>221</v>
      </c>
      <c r="O2" s="202">
        <f>$I$2*V2</f>
        <v>5000</v>
      </c>
      <c r="P2" s="203">
        <f t="shared" ref="P2:P8" si="0">SUMIFS(Z$18:Z$35,K$18:K$35,$G$2,I$18:I$35,N2,P$18:P$35,"Stima")</f>
        <v>0</v>
      </c>
      <c r="Q2" s="204">
        <f t="shared" ref="Q2:Q8" si="1">O2-P2</f>
        <v>5000</v>
      </c>
      <c r="R2" s="205">
        <f>P2/$I$2</f>
        <v>0</v>
      </c>
      <c r="S2" s="206">
        <v>0.1</v>
      </c>
      <c r="T2" s="206">
        <f>R2-S2</f>
        <v>-0.1</v>
      </c>
      <c r="U2" s="207"/>
      <c r="V2" s="208">
        <v>0.05</v>
      </c>
      <c r="W2" s="209">
        <f>R2-V2</f>
        <v>-0.05</v>
      </c>
      <c r="X2" s="202">
        <f t="shared" ref="X2:X8" si="2">SUMIFS(Z$18:Z$35,K$18:K$35,$G$2,I$18:I$35,N2,P$18:P$35,"Richiesta Fondi")</f>
        <v>0</v>
      </c>
      <c r="Y2" s="203">
        <f>P2-X2</f>
        <v>0</v>
      </c>
    </row>
    <row r="3" spans="1:25" ht="15.6" customHeight="1">
      <c r="B3" s="385"/>
      <c r="C3" s="385"/>
      <c r="D3" s="385"/>
      <c r="E3" s="385"/>
      <c r="F3" s="195"/>
      <c r="G3" s="375"/>
      <c r="H3" s="378"/>
      <c r="I3" s="378"/>
      <c r="J3" s="382"/>
      <c r="K3" s="369"/>
      <c r="L3" s="369"/>
      <c r="M3" s="372"/>
      <c r="N3" s="210" t="s">
        <v>222</v>
      </c>
      <c r="O3" s="202">
        <f t="shared" ref="O3:O8" si="3">$I$2*V3</f>
        <v>20000</v>
      </c>
      <c r="P3" s="203">
        <f t="shared" si="0"/>
        <v>15347.6</v>
      </c>
      <c r="Q3" s="204">
        <f t="shared" si="1"/>
        <v>4652.3999999999996</v>
      </c>
      <c r="R3" s="205">
        <f t="shared" ref="R3:R8" si="4">P3/$I$2</f>
        <v>0.153476</v>
      </c>
      <c r="S3" s="206">
        <v>0.3</v>
      </c>
      <c r="T3" s="206">
        <f t="shared" ref="T3:T8" si="5">R3-S3</f>
        <v>-0.14652399999999999</v>
      </c>
      <c r="U3" s="207"/>
      <c r="V3" s="206">
        <v>0.2</v>
      </c>
      <c r="W3" s="209">
        <f t="shared" ref="W3:W8" si="6">R3-V3</f>
        <v>-4.652400000000001E-2</v>
      </c>
      <c r="X3" s="202">
        <f t="shared" si="2"/>
        <v>0</v>
      </c>
      <c r="Y3" s="203">
        <f t="shared" ref="Y3:Y8" si="7">P3-X3</f>
        <v>15347.6</v>
      </c>
    </row>
    <row r="4" spans="1:25" ht="16.149999999999999" customHeight="1">
      <c r="B4" s="385"/>
      <c r="C4" s="385"/>
      <c r="D4" s="385"/>
      <c r="E4" s="385"/>
      <c r="F4" s="195"/>
      <c r="G4" s="375"/>
      <c r="H4" s="378"/>
      <c r="I4" s="378"/>
      <c r="J4" s="382"/>
      <c r="K4" s="369"/>
      <c r="L4" s="369"/>
      <c r="M4" s="372"/>
      <c r="N4" s="210" t="s">
        <v>223</v>
      </c>
      <c r="O4" s="202">
        <f t="shared" si="3"/>
        <v>25000</v>
      </c>
      <c r="P4" s="203">
        <f t="shared" si="0"/>
        <v>27450</v>
      </c>
      <c r="Q4" s="204">
        <f t="shared" si="1"/>
        <v>-2450</v>
      </c>
      <c r="R4" s="205">
        <f t="shared" si="4"/>
        <v>0.27450000000000002</v>
      </c>
      <c r="S4" s="206">
        <v>0.15</v>
      </c>
      <c r="T4" s="206">
        <f t="shared" si="5"/>
        <v>0.12450000000000003</v>
      </c>
      <c r="U4" s="207"/>
      <c r="V4" s="206">
        <v>0.25</v>
      </c>
      <c r="W4" s="209">
        <f t="shared" si="6"/>
        <v>2.4500000000000022E-2</v>
      </c>
      <c r="X4" s="202">
        <f t="shared" si="2"/>
        <v>0</v>
      </c>
      <c r="Y4" s="203">
        <f t="shared" si="7"/>
        <v>27450</v>
      </c>
    </row>
    <row r="5" spans="1:25" ht="15" customHeight="1">
      <c r="B5" s="385"/>
      <c r="C5" s="385"/>
      <c r="D5" s="385"/>
      <c r="E5" s="385"/>
      <c r="F5" s="195"/>
      <c r="G5" s="375"/>
      <c r="H5" s="378"/>
      <c r="I5" s="378"/>
      <c r="J5" s="382"/>
      <c r="K5" s="369"/>
      <c r="L5" s="369"/>
      <c r="M5" s="372"/>
      <c r="N5" s="210" t="s">
        <v>224</v>
      </c>
      <c r="O5" s="202">
        <f t="shared" si="3"/>
        <v>25000</v>
      </c>
      <c r="P5" s="203">
        <f t="shared" si="0"/>
        <v>32208</v>
      </c>
      <c r="Q5" s="204">
        <f t="shared" si="1"/>
        <v>-7208</v>
      </c>
      <c r="R5" s="205">
        <f t="shared" si="4"/>
        <v>0.32207999999999998</v>
      </c>
      <c r="S5" s="206"/>
      <c r="T5" s="206"/>
      <c r="U5" s="207"/>
      <c r="V5" s="206">
        <v>0.25</v>
      </c>
      <c r="W5" s="209">
        <f t="shared" si="6"/>
        <v>7.2079999999999977E-2</v>
      </c>
      <c r="X5" s="202">
        <f t="shared" si="2"/>
        <v>0</v>
      </c>
      <c r="Y5" s="203">
        <f t="shared" si="7"/>
        <v>32208</v>
      </c>
    </row>
    <row r="6" spans="1:25" ht="15" customHeight="1">
      <c r="B6" s="385"/>
      <c r="C6" s="385"/>
      <c r="D6" s="385"/>
      <c r="E6" s="385"/>
      <c r="F6" s="195"/>
      <c r="G6" s="375"/>
      <c r="H6" s="378"/>
      <c r="I6" s="378"/>
      <c r="J6" s="382"/>
      <c r="K6" s="369"/>
      <c r="L6" s="369"/>
      <c r="M6" s="372"/>
      <c r="N6" s="210" t="s">
        <v>225</v>
      </c>
      <c r="O6" s="202">
        <f t="shared" si="3"/>
        <v>10000</v>
      </c>
      <c r="P6" s="203">
        <f t="shared" si="0"/>
        <v>8662</v>
      </c>
      <c r="Q6" s="204">
        <f t="shared" si="1"/>
        <v>1338</v>
      </c>
      <c r="R6" s="205">
        <f t="shared" si="4"/>
        <v>8.6620000000000003E-2</v>
      </c>
      <c r="S6" s="206">
        <v>7.0000000000000007E-2</v>
      </c>
      <c r="T6" s="206">
        <f t="shared" si="5"/>
        <v>1.6619999999999996E-2</v>
      </c>
      <c r="U6" s="207"/>
      <c r="V6" s="206">
        <v>0.1</v>
      </c>
      <c r="W6" s="209">
        <f t="shared" si="6"/>
        <v>-1.3380000000000003E-2</v>
      </c>
      <c r="X6" s="202">
        <f t="shared" si="2"/>
        <v>0</v>
      </c>
      <c r="Y6" s="203">
        <f t="shared" si="7"/>
        <v>8662</v>
      </c>
    </row>
    <row r="7" spans="1:25" ht="15.6" customHeight="1">
      <c r="B7" s="385"/>
      <c r="C7" s="385"/>
      <c r="D7" s="385"/>
      <c r="E7" s="385"/>
      <c r="F7" s="195"/>
      <c r="G7" s="375"/>
      <c r="H7" s="378"/>
      <c r="I7" s="378"/>
      <c r="J7" s="382"/>
      <c r="K7" s="369"/>
      <c r="L7" s="369"/>
      <c r="M7" s="372"/>
      <c r="N7" s="210" t="s">
        <v>226</v>
      </c>
      <c r="O7" s="202">
        <f t="shared" si="3"/>
        <v>10000</v>
      </c>
      <c r="P7" s="203">
        <f t="shared" si="0"/>
        <v>0</v>
      </c>
      <c r="Q7" s="204">
        <f t="shared" si="1"/>
        <v>10000</v>
      </c>
      <c r="R7" s="205">
        <f t="shared" si="4"/>
        <v>0</v>
      </c>
      <c r="S7" s="206">
        <v>7.0000000000000007E-2</v>
      </c>
      <c r="T7" s="206">
        <f t="shared" si="5"/>
        <v>-7.0000000000000007E-2</v>
      </c>
      <c r="U7" s="207"/>
      <c r="V7" s="206">
        <v>0.1</v>
      </c>
      <c r="W7" s="209">
        <f t="shared" si="6"/>
        <v>-0.1</v>
      </c>
      <c r="X7" s="202">
        <f t="shared" si="2"/>
        <v>0</v>
      </c>
      <c r="Y7" s="203">
        <f t="shared" si="7"/>
        <v>0</v>
      </c>
    </row>
    <row r="8" spans="1:25" ht="45" customHeight="1">
      <c r="B8" s="385"/>
      <c r="C8" s="385"/>
      <c r="D8" s="385"/>
      <c r="E8" s="385"/>
      <c r="F8" s="195"/>
      <c r="G8" s="376"/>
      <c r="H8" s="379"/>
      <c r="I8" s="379"/>
      <c r="J8" s="383"/>
      <c r="K8" s="370"/>
      <c r="L8" s="370"/>
      <c r="M8" s="373"/>
      <c r="N8" s="201" t="s">
        <v>227</v>
      </c>
      <c r="O8" s="202">
        <f t="shared" si="3"/>
        <v>5000</v>
      </c>
      <c r="P8" s="203">
        <f t="shared" si="0"/>
        <v>7808</v>
      </c>
      <c r="Q8" s="204">
        <f t="shared" si="1"/>
        <v>-2808</v>
      </c>
      <c r="R8" s="205">
        <f t="shared" si="4"/>
        <v>7.8079999999999997E-2</v>
      </c>
      <c r="S8" s="206">
        <v>0.05</v>
      </c>
      <c r="T8" s="206">
        <f t="shared" si="5"/>
        <v>2.8079999999999994E-2</v>
      </c>
      <c r="U8" s="211"/>
      <c r="V8" s="206">
        <v>0.05</v>
      </c>
      <c r="W8" s="209">
        <f t="shared" si="6"/>
        <v>2.8079999999999994E-2</v>
      </c>
      <c r="X8" s="202">
        <f t="shared" si="2"/>
        <v>0</v>
      </c>
      <c r="Y8" s="203">
        <f t="shared" si="7"/>
        <v>7808</v>
      </c>
    </row>
    <row r="9" spans="1:25" ht="15.6" customHeight="1">
      <c r="B9" s="385"/>
      <c r="C9" s="385"/>
      <c r="D9" s="385"/>
      <c r="E9" s="385"/>
      <c r="F9" s="195"/>
      <c r="G9" s="194"/>
      <c r="H9" s="212"/>
      <c r="J9" s="213"/>
      <c r="K9" s="214"/>
      <c r="L9" s="214"/>
      <c r="M9" s="215"/>
      <c r="N9" s="216"/>
      <c r="O9" s="217"/>
      <c r="P9" s="218">
        <f>SUM(P2:P8)</f>
        <v>91475.6</v>
      </c>
      <c r="Q9" s="218"/>
      <c r="R9" s="340">
        <f>SUM(R2:R8)</f>
        <v>0.91475600000000012</v>
      </c>
      <c r="S9" s="219"/>
      <c r="T9" s="219"/>
      <c r="U9" s="73"/>
      <c r="V9" s="341">
        <f>SUM(V2:V8)</f>
        <v>1</v>
      </c>
      <c r="W9" s="221"/>
      <c r="Y9" s="218">
        <f>SUM(Y2:Y8)</f>
        <v>91475.6</v>
      </c>
    </row>
    <row r="10" spans="1:25" ht="15.6" customHeight="1">
      <c r="B10" s="385"/>
      <c r="C10" s="385"/>
      <c r="D10" s="385"/>
      <c r="E10" s="385"/>
      <c r="F10" s="195"/>
      <c r="G10" s="222"/>
      <c r="H10" s="223"/>
      <c r="K10" s="225"/>
      <c r="L10" s="225"/>
      <c r="O10" s="228" t="str">
        <f>IF(SUM(O2:O8)=I2,"Check somma allocato per macroattività","KO")</f>
        <v>Check somma allocato per macroattività</v>
      </c>
      <c r="P10" s="228" t="str">
        <f>IF(SUM(P2:P8)=K2,"Singole richieste fondi OK","Da verificare richieste fondi")</f>
        <v>Da verificare richieste fondi</v>
      </c>
      <c r="S10" s="220"/>
      <c r="T10" s="221"/>
      <c r="U10" s="73"/>
      <c r="W10" s="221"/>
    </row>
    <row r="11" spans="1:25" ht="15" customHeight="1">
      <c r="A11" s="73"/>
      <c r="B11" s="385"/>
      <c r="C11" s="385"/>
      <c r="D11" s="385"/>
      <c r="E11" s="385"/>
      <c r="F11" s="195"/>
      <c r="G11" s="374" t="s">
        <v>228</v>
      </c>
      <c r="H11" s="377">
        <v>100000</v>
      </c>
      <c r="I11" s="377">
        <v>40000</v>
      </c>
      <c r="J11" s="380">
        <f>I11/H11</f>
        <v>0.4</v>
      </c>
      <c r="K11" s="368">
        <f>SUMIFS(Z18:Z28,K18:K28,G11,C18:C28,C17)</f>
        <v>0</v>
      </c>
      <c r="L11" s="368">
        <f>SUMIFS(Z18:Z28,K18:K28,G11,B18:B28,B17)</f>
        <v>0</v>
      </c>
      <c r="M11" s="371">
        <f>I11-K11</f>
        <v>40000</v>
      </c>
      <c r="N11" s="210" t="s">
        <v>229</v>
      </c>
      <c r="O11" s="202" t="s">
        <v>230</v>
      </c>
      <c r="P11" s="203">
        <f>SUMIFS(Z$18:Z$35,K$18:K$35,$G$11,I$18:I$35,N11,P$18:P$35,"Stima")</f>
        <v>19594.556154440004</v>
      </c>
      <c r="Q11" s="203" t="s">
        <v>230</v>
      </c>
      <c r="R11" s="229">
        <f>P11/$I$11</f>
        <v>0.48986390386100009</v>
      </c>
      <c r="S11" s="230"/>
      <c r="T11" s="230"/>
      <c r="U11" s="211"/>
      <c r="V11" s="211"/>
      <c r="W11" s="231"/>
      <c r="X11" s="202">
        <f>SUMIFS(Z$18:Z$35,K$18:K$35,$G$11,I$18:I$35,N11,P$18:P$35,"Richiesta Fondi")</f>
        <v>0</v>
      </c>
      <c r="Y11" s="203">
        <f>P11-X11</f>
        <v>19594.556154440004</v>
      </c>
    </row>
    <row r="12" spans="1:25" ht="14.45" customHeight="1">
      <c r="A12" s="73"/>
      <c r="B12" s="385"/>
      <c r="C12" s="385"/>
      <c r="D12" s="385"/>
      <c r="E12" s="385"/>
      <c r="F12" s="195"/>
      <c r="G12" s="375"/>
      <c r="H12" s="378"/>
      <c r="I12" s="378"/>
      <c r="J12" s="380"/>
      <c r="K12" s="369"/>
      <c r="L12" s="369"/>
      <c r="M12" s="372"/>
      <c r="N12" s="210" t="s">
        <v>231</v>
      </c>
      <c r="O12" s="202" t="s">
        <v>230</v>
      </c>
      <c r="P12" s="203">
        <f>SUMIFS(Z$18:Z$35,K$18:K$35,$G$11,I$18:I$35,N12,P$18:P$35,"Stima")</f>
        <v>9241.5085400000007</v>
      </c>
      <c r="Q12" s="203" t="s">
        <v>230</v>
      </c>
      <c r="R12" s="229">
        <f>P12/$I$11</f>
        <v>0.23103771350000002</v>
      </c>
      <c r="S12" s="232"/>
      <c r="T12" s="233"/>
      <c r="U12" s="211"/>
      <c r="V12" s="211"/>
      <c r="W12" s="231"/>
      <c r="X12" s="202">
        <f>SUMIFS(Z$18:Z$35,K$18:K$35,$G$11,I$18:I$35,N12,P$18:P$35,"Richiesta Fondi")</f>
        <v>0</v>
      </c>
      <c r="Y12" s="203">
        <f t="shared" ref="Y12:Y13" si="8">P12-X12</f>
        <v>9241.5085400000007</v>
      </c>
    </row>
    <row r="13" spans="1:25" ht="16.149999999999999" customHeight="1">
      <c r="A13" s="73"/>
      <c r="B13" s="385"/>
      <c r="C13" s="385"/>
      <c r="D13" s="385"/>
      <c r="E13" s="385"/>
      <c r="F13" s="195"/>
      <c r="G13" s="376"/>
      <c r="H13" s="379"/>
      <c r="I13" s="379"/>
      <c r="J13" s="380"/>
      <c r="K13" s="370"/>
      <c r="L13" s="370"/>
      <c r="M13" s="373"/>
      <c r="N13" s="201" t="s">
        <v>227</v>
      </c>
      <c r="O13" s="202" t="s">
        <v>230</v>
      </c>
      <c r="P13" s="203">
        <f>SUMIFS(Z$18:Z$35,K$18:K$35,$G$11,I$18:I$35,N13,P$18:P$35,"Stima")</f>
        <v>0</v>
      </c>
      <c r="Q13" s="203" t="s">
        <v>230</v>
      </c>
      <c r="R13" s="229">
        <f>P13/$I$11</f>
        <v>0</v>
      </c>
      <c r="S13" s="232"/>
      <c r="T13" s="233"/>
      <c r="U13" s="211"/>
      <c r="V13" s="211"/>
      <c r="W13" s="231"/>
      <c r="X13" s="202">
        <f>SUMIFS(Z$18:Z$35,K$18:K$35,$G$11,I$18:I$35,N13,P$18:P$35,"Richiesta Fondi")</f>
        <v>0</v>
      </c>
      <c r="Y13" s="203">
        <f t="shared" si="8"/>
        <v>0</v>
      </c>
    </row>
    <row r="14" spans="1:25" ht="18.600000000000001" customHeight="1">
      <c r="A14" s="73"/>
      <c r="B14" s="195"/>
      <c r="C14" s="195"/>
      <c r="D14" s="195"/>
      <c r="E14" s="195"/>
      <c r="F14" s="195"/>
      <c r="G14" s="194"/>
      <c r="H14" s="212"/>
      <c r="I14" s="212"/>
      <c r="J14" s="214"/>
      <c r="K14" s="213"/>
      <c r="L14" s="213"/>
      <c r="M14" s="215"/>
      <c r="N14" s="216"/>
      <c r="O14" s="217"/>
      <c r="P14" s="218">
        <f>SUM(P11:P13)</f>
        <v>28836.064694440007</v>
      </c>
      <c r="Q14" s="234"/>
      <c r="R14" s="340">
        <f>SUM(R11:R13)</f>
        <v>0.72090161736100011</v>
      </c>
      <c r="S14" s="217"/>
      <c r="T14" s="217"/>
      <c r="U14" s="235"/>
      <c r="V14" s="235"/>
      <c r="W14" s="73"/>
      <c r="Y14" s="218">
        <f>SUM(Y11:Y13)</f>
        <v>28836.064694440007</v>
      </c>
    </row>
    <row r="15" spans="1:25" ht="19.149999999999999" customHeight="1">
      <c r="B15" s="222"/>
      <c r="C15" s="222"/>
      <c r="D15" s="222"/>
      <c r="E15" s="236"/>
      <c r="F15" s="236"/>
      <c r="G15" s="237"/>
      <c r="H15" s="238"/>
      <c r="I15" s="238"/>
      <c r="J15" s="239"/>
      <c r="M15" s="241"/>
      <c r="N15" s="239"/>
      <c r="O15" s="228" t="str">
        <f>IF(SUM(O11:O13)=I11,"Check somma allocato per macroattività","KO")</f>
        <v>KO</v>
      </c>
      <c r="P15" s="228" t="str">
        <f>IF(SUM(P11:P13)=K11,"Singole richieste fondi OK","Da verificare richieste fondi")</f>
        <v>Da verificare richieste fondi</v>
      </c>
      <c r="Q15" s="234"/>
      <c r="S15" s="242"/>
      <c r="T15" s="243">
        <f>630*500</f>
        <v>315000</v>
      </c>
      <c r="U15" s="244"/>
      <c r="V15" s="244"/>
      <c r="W15" s="73"/>
    </row>
    <row r="16" spans="1:25" ht="23.45" customHeight="1">
      <c r="T16" s="194"/>
      <c r="U16" s="194"/>
      <c r="V16" s="244"/>
      <c r="W16" s="73"/>
    </row>
    <row r="17" spans="1:31" s="226" customFormat="1" ht="63.6" customHeight="1">
      <c r="A17" s="246" t="s">
        <v>232</v>
      </c>
      <c r="B17" s="246" t="s">
        <v>233</v>
      </c>
      <c r="C17" s="246" t="s">
        <v>234</v>
      </c>
      <c r="D17" s="246" t="s">
        <v>235</v>
      </c>
      <c r="E17" s="247" t="s">
        <v>236</v>
      </c>
      <c r="F17" s="248" t="s">
        <v>237</v>
      </c>
      <c r="G17" s="249" t="s">
        <v>238</v>
      </c>
      <c r="H17" s="250" t="s">
        <v>239</v>
      </c>
      <c r="I17" s="250" t="s">
        <v>209</v>
      </c>
      <c r="J17" s="250" t="s">
        <v>240</v>
      </c>
      <c r="K17" s="250" t="s">
        <v>241</v>
      </c>
      <c r="L17" s="250" t="s">
        <v>242</v>
      </c>
      <c r="M17" s="250" t="s">
        <v>243</v>
      </c>
      <c r="N17" s="250" t="s">
        <v>244</v>
      </c>
      <c r="O17" s="250" t="s">
        <v>245</v>
      </c>
      <c r="P17" s="250" t="s">
        <v>194</v>
      </c>
      <c r="Q17" s="250" t="s">
        <v>246</v>
      </c>
      <c r="R17" s="250" t="s">
        <v>247</v>
      </c>
      <c r="S17" s="250" t="s">
        <v>248</v>
      </c>
      <c r="T17" s="250" t="s">
        <v>249</v>
      </c>
      <c r="U17" s="250" t="s">
        <v>250</v>
      </c>
      <c r="V17" s="250" t="s">
        <v>251</v>
      </c>
      <c r="W17" s="250" t="s">
        <v>252</v>
      </c>
      <c r="X17" s="250" t="s">
        <v>253</v>
      </c>
      <c r="Y17" s="251" t="s">
        <v>254</v>
      </c>
      <c r="Z17" s="251" t="s">
        <v>255</v>
      </c>
      <c r="AA17" s="251" t="s">
        <v>256</v>
      </c>
      <c r="AB17" s="251" t="s">
        <v>257</v>
      </c>
      <c r="AC17" s="251" t="s">
        <v>258</v>
      </c>
      <c r="AD17" s="251" t="s">
        <v>259</v>
      </c>
      <c r="AE17" s="251" t="s">
        <v>260</v>
      </c>
    </row>
    <row r="18" spans="1:31" s="221" customFormat="1" ht="45" customHeight="1">
      <c r="A18" s="252" t="s">
        <v>261</v>
      </c>
      <c r="B18" s="252" t="s">
        <v>261</v>
      </c>
      <c r="C18" s="252" t="s">
        <v>261</v>
      </c>
      <c r="D18" s="252" t="s">
        <v>261</v>
      </c>
      <c r="E18" s="252" t="s">
        <v>261</v>
      </c>
      <c r="F18" s="252" t="s">
        <v>261</v>
      </c>
      <c r="G18" s="253"/>
      <c r="H18" s="254" t="s">
        <v>262</v>
      </c>
      <c r="I18" s="254" t="s">
        <v>222</v>
      </c>
      <c r="J18" s="255" t="s">
        <v>263</v>
      </c>
      <c r="K18" s="256" t="s">
        <v>39</v>
      </c>
      <c r="L18" s="256" t="s">
        <v>264</v>
      </c>
      <c r="M18" s="257">
        <v>46174</v>
      </c>
      <c r="N18" s="258" t="s">
        <v>265</v>
      </c>
      <c r="O18" s="254" t="s">
        <v>266</v>
      </c>
      <c r="P18" s="259" t="s">
        <v>267</v>
      </c>
      <c r="Q18" s="260">
        <v>1</v>
      </c>
      <c r="R18" s="345"/>
      <c r="S18" s="260"/>
      <c r="T18" s="260"/>
      <c r="U18" s="260"/>
      <c r="V18" s="344"/>
      <c r="W18" s="260">
        <v>20</v>
      </c>
      <c r="X18" s="317">
        <v>930</v>
      </c>
      <c r="Y18" s="261">
        <f>Tariffario!E37</f>
        <v>12580</v>
      </c>
      <c r="Z18" s="262">
        <f>Tabella13[[#This Row],[Importo i.e.]]*1.22</f>
        <v>15347.6</v>
      </c>
      <c r="AA18" s="263"/>
      <c r="AB18" s="263"/>
      <c r="AC18" s="264"/>
      <c r="AD18" s="264"/>
      <c r="AE18" s="266"/>
    </row>
    <row r="19" spans="1:31" s="221" customFormat="1" ht="189" customHeight="1">
      <c r="A19" s="252" t="s">
        <v>261</v>
      </c>
      <c r="B19" s="252" t="s">
        <v>261</v>
      </c>
      <c r="C19" s="252" t="s">
        <v>261</v>
      </c>
      <c r="D19" s="252" t="s">
        <v>261</v>
      </c>
      <c r="E19" s="252" t="s">
        <v>261</v>
      </c>
      <c r="F19" s="252" t="s">
        <v>261</v>
      </c>
      <c r="G19" s="253"/>
      <c r="H19" s="254"/>
      <c r="I19" s="254" t="s">
        <v>223</v>
      </c>
      <c r="J19" s="255" t="s">
        <v>268</v>
      </c>
      <c r="K19" s="256" t="s">
        <v>39</v>
      </c>
      <c r="L19" s="256" t="s">
        <v>269</v>
      </c>
      <c r="M19" s="257">
        <v>46174</v>
      </c>
      <c r="N19" s="258" t="s">
        <v>270</v>
      </c>
      <c r="O19" s="254" t="s">
        <v>266</v>
      </c>
      <c r="P19" s="259" t="s">
        <v>267</v>
      </c>
      <c r="Q19" s="260">
        <v>1</v>
      </c>
      <c r="R19" s="345">
        <v>0.25</v>
      </c>
      <c r="S19" s="260"/>
      <c r="T19" s="260"/>
      <c r="U19" s="260"/>
      <c r="V19" s="260">
        <v>6</v>
      </c>
      <c r="W19" s="260">
        <v>20</v>
      </c>
      <c r="X19" s="317">
        <v>750</v>
      </c>
      <c r="Y19" s="261">
        <f t="shared" ref="Y19:Y23" si="9">ROUNDUP(Q19*R19*V19*W19*X19,-2)</f>
        <v>22500</v>
      </c>
      <c r="Z19" s="262">
        <f>Tabella13[[#This Row],[Importo i.e.]]*1.22</f>
        <v>27450</v>
      </c>
      <c r="AA19" s="263"/>
      <c r="AB19" s="263"/>
      <c r="AC19" s="264"/>
      <c r="AD19" s="264"/>
      <c r="AE19" s="265"/>
    </row>
    <row r="20" spans="1:31" s="221" customFormat="1" ht="104.45" customHeight="1">
      <c r="A20" s="252" t="s">
        <v>261</v>
      </c>
      <c r="B20" s="252" t="s">
        <v>261</v>
      </c>
      <c r="C20" s="252" t="s">
        <v>261</v>
      </c>
      <c r="D20" s="252" t="s">
        <v>261</v>
      </c>
      <c r="E20" s="252" t="s">
        <v>261</v>
      </c>
      <c r="F20" s="252" t="s">
        <v>261</v>
      </c>
      <c r="G20" s="253"/>
      <c r="H20" s="256"/>
      <c r="I20" s="254" t="s">
        <v>224</v>
      </c>
      <c r="J20" s="255" t="s">
        <v>271</v>
      </c>
      <c r="K20" s="256" t="s">
        <v>39</v>
      </c>
      <c r="L20" s="256" t="s">
        <v>272</v>
      </c>
      <c r="M20" s="267">
        <v>46266</v>
      </c>
      <c r="N20" s="258" t="s">
        <v>273</v>
      </c>
      <c r="O20" s="254" t="s">
        <v>266</v>
      </c>
      <c r="P20" s="259" t="s">
        <v>267</v>
      </c>
      <c r="Q20" s="260">
        <v>2</v>
      </c>
      <c r="R20" s="345">
        <v>1</v>
      </c>
      <c r="S20" s="260"/>
      <c r="T20" s="260"/>
      <c r="U20" s="260"/>
      <c r="V20" s="344">
        <v>2</v>
      </c>
      <c r="W20" s="260">
        <v>20</v>
      </c>
      <c r="X20" s="317">
        <v>330</v>
      </c>
      <c r="Y20" s="261">
        <f t="shared" si="9"/>
        <v>26400</v>
      </c>
      <c r="Z20" s="262">
        <f>Tabella13[[#This Row],[Importo i.e.]]*1.22</f>
        <v>32208</v>
      </c>
      <c r="AA20" s="263"/>
      <c r="AB20" s="263"/>
      <c r="AC20" s="264"/>
      <c r="AD20" s="264"/>
      <c r="AE20" s="265"/>
    </row>
    <row r="21" spans="1:31" s="221" customFormat="1" ht="45" customHeight="1">
      <c r="A21" s="252" t="s">
        <v>261</v>
      </c>
      <c r="B21" s="252" t="s">
        <v>261</v>
      </c>
      <c r="C21" s="252" t="s">
        <v>261</v>
      </c>
      <c r="D21" s="252" t="s">
        <v>261</v>
      </c>
      <c r="E21" s="252" t="s">
        <v>261</v>
      </c>
      <c r="F21" s="252" t="s">
        <v>261</v>
      </c>
      <c r="G21" s="253"/>
      <c r="H21" s="256"/>
      <c r="I21" s="254" t="s">
        <v>225</v>
      </c>
      <c r="J21" s="255" t="s">
        <v>274</v>
      </c>
      <c r="K21" s="256" t="s">
        <v>39</v>
      </c>
      <c r="L21" s="256" t="s">
        <v>275</v>
      </c>
      <c r="M21" s="267">
        <v>46113</v>
      </c>
      <c r="N21" s="258">
        <v>46235</v>
      </c>
      <c r="O21" s="254" t="s">
        <v>266</v>
      </c>
      <c r="P21" s="259" t="s">
        <v>267</v>
      </c>
      <c r="Q21" s="260">
        <v>1</v>
      </c>
      <c r="R21" s="345">
        <v>0.75</v>
      </c>
      <c r="S21" s="260"/>
      <c r="T21" s="260"/>
      <c r="U21" s="260"/>
      <c r="V21" s="345">
        <v>1</v>
      </c>
      <c r="W21" s="260">
        <v>20</v>
      </c>
      <c r="X21" s="317">
        <v>470</v>
      </c>
      <c r="Y21" s="261">
        <f t="shared" si="9"/>
        <v>7100</v>
      </c>
      <c r="Z21" s="262">
        <f>Tabella13[[#This Row],[Importo i.e.]]*1.22</f>
        <v>8662</v>
      </c>
      <c r="AA21" s="263"/>
      <c r="AB21" s="263"/>
      <c r="AC21" s="264"/>
      <c r="AD21" s="264"/>
      <c r="AE21" s="265"/>
    </row>
    <row r="22" spans="1:31" s="221" customFormat="1" ht="45" customHeight="1">
      <c r="A22" s="252" t="s">
        <v>261</v>
      </c>
      <c r="B22" s="252" t="s">
        <v>261</v>
      </c>
      <c r="C22" s="252" t="s">
        <v>261</v>
      </c>
      <c r="D22" s="252" t="s">
        <v>261</v>
      </c>
      <c r="E22" s="252" t="s">
        <v>261</v>
      </c>
      <c r="F22" s="252" t="s">
        <v>261</v>
      </c>
      <c r="G22" s="253"/>
      <c r="H22" s="258"/>
      <c r="I22" s="254" t="s">
        <v>227</v>
      </c>
      <c r="J22" s="255" t="s">
        <v>276</v>
      </c>
      <c r="K22" s="256" t="s">
        <v>39</v>
      </c>
      <c r="L22" s="256" t="s">
        <v>277</v>
      </c>
      <c r="M22" s="267">
        <v>46204</v>
      </c>
      <c r="N22" s="258" t="s">
        <v>278</v>
      </c>
      <c r="O22" s="254" t="s">
        <v>266</v>
      </c>
      <c r="P22" s="259" t="s">
        <v>267</v>
      </c>
      <c r="Q22" s="344">
        <v>1</v>
      </c>
      <c r="R22" s="345">
        <v>0.4</v>
      </c>
      <c r="S22" s="260"/>
      <c r="T22" s="260"/>
      <c r="U22" s="260"/>
      <c r="V22" s="344">
        <v>2</v>
      </c>
      <c r="W22" s="260">
        <v>20</v>
      </c>
      <c r="X22" s="357">
        <v>400</v>
      </c>
      <c r="Y22" s="261">
        <f t="shared" si="9"/>
        <v>6400</v>
      </c>
      <c r="Z22" s="262">
        <f>Tabella13[[#This Row],[Importo i.e.]]*1.22</f>
        <v>7808</v>
      </c>
      <c r="AA22" s="263"/>
      <c r="AB22" s="263"/>
      <c r="AC22" s="264"/>
      <c r="AD22" s="264"/>
      <c r="AE22" s="265"/>
    </row>
    <row r="23" spans="1:31" s="221" customFormat="1" ht="45" hidden="1" customHeight="1">
      <c r="A23" s="252" t="s">
        <v>261</v>
      </c>
      <c r="B23" s="252" t="s">
        <v>261</v>
      </c>
      <c r="C23" s="252" t="s">
        <v>261</v>
      </c>
      <c r="D23" s="252" t="s">
        <v>261</v>
      </c>
      <c r="E23" s="252" t="s">
        <v>261</v>
      </c>
      <c r="F23" s="252" t="s">
        <v>261</v>
      </c>
      <c r="G23" s="253"/>
      <c r="H23" s="254"/>
      <c r="I23" s="254" t="s">
        <v>226</v>
      </c>
      <c r="J23" s="255" t="s">
        <v>279</v>
      </c>
      <c r="K23" s="256" t="s">
        <v>39</v>
      </c>
      <c r="L23" s="256" t="s">
        <v>280</v>
      </c>
      <c r="M23" s="267">
        <v>46174</v>
      </c>
      <c r="N23" s="258">
        <v>46327</v>
      </c>
      <c r="O23" s="254" t="s">
        <v>266</v>
      </c>
      <c r="P23" s="259" t="s">
        <v>267</v>
      </c>
      <c r="Q23" s="260">
        <v>1</v>
      </c>
      <c r="R23" s="345"/>
      <c r="S23" s="260"/>
      <c r="T23" s="260"/>
      <c r="U23" s="260"/>
      <c r="V23" s="260"/>
      <c r="W23" s="260">
        <v>20</v>
      </c>
      <c r="X23" s="317">
        <v>420</v>
      </c>
      <c r="Y23" s="261">
        <f t="shared" si="9"/>
        <v>0</v>
      </c>
      <c r="Z23" s="262">
        <f>Tabella13[[#This Row],[Importo i.e.]]*1.22</f>
        <v>0</v>
      </c>
      <c r="AA23" s="263"/>
      <c r="AB23" s="263"/>
      <c r="AC23" s="264"/>
      <c r="AD23" s="264"/>
      <c r="AE23" s="266"/>
    </row>
    <row r="24" spans="1:31" s="221" customFormat="1" ht="45" customHeight="1">
      <c r="A24" s="252" t="s">
        <v>261</v>
      </c>
      <c r="B24" s="252" t="s">
        <v>261</v>
      </c>
      <c r="C24" s="252" t="s">
        <v>261</v>
      </c>
      <c r="D24" s="252" t="s">
        <v>261</v>
      </c>
      <c r="E24" s="252" t="s">
        <v>261</v>
      </c>
      <c r="F24" s="252" t="s">
        <v>261</v>
      </c>
      <c r="G24" s="253"/>
      <c r="H24" s="268" t="s">
        <v>281</v>
      </c>
      <c r="I24" s="254" t="s">
        <v>229</v>
      </c>
      <c r="J24" s="255" t="s">
        <v>282</v>
      </c>
      <c r="K24" s="256" t="s">
        <v>22</v>
      </c>
      <c r="L24" s="256" t="s">
        <v>269</v>
      </c>
      <c r="M24" s="257">
        <v>46174</v>
      </c>
      <c r="N24" s="258">
        <v>46387</v>
      </c>
      <c r="O24" s="254" t="s">
        <v>266</v>
      </c>
      <c r="P24" s="259" t="s">
        <v>267</v>
      </c>
      <c r="Q24" s="260"/>
      <c r="R24" s="345"/>
      <c r="S24" s="260"/>
      <c r="T24" s="260"/>
      <c r="U24" s="260"/>
      <c r="V24" s="260"/>
      <c r="W24" s="260"/>
      <c r="X24" s="260"/>
      <c r="Y24" s="355">
        <f>'ACN Riepilogo Costo Infra'!C19/1.22</f>
        <v>15215.080600000003</v>
      </c>
      <c r="Z24" s="313">
        <f>'ACN Riepilogo Costo Infra'!C19</f>
        <v>18562.398332000004</v>
      </c>
      <c r="AA24" s="263"/>
      <c r="AB24" s="263"/>
      <c r="AC24" s="264"/>
      <c r="AD24" s="264"/>
      <c r="AE24" s="269"/>
    </row>
    <row r="25" spans="1:31" s="221" customFormat="1" ht="45" customHeight="1">
      <c r="A25" s="252" t="s">
        <v>261</v>
      </c>
      <c r="B25" s="252" t="s">
        <v>261</v>
      </c>
      <c r="C25" s="252" t="s">
        <v>261</v>
      </c>
      <c r="D25" s="252" t="s">
        <v>261</v>
      </c>
      <c r="E25" s="252" t="s">
        <v>261</v>
      </c>
      <c r="F25" s="252" t="s">
        <v>261</v>
      </c>
      <c r="G25" s="253"/>
      <c r="H25" s="268" t="s">
        <v>283</v>
      </c>
      <c r="I25" s="254" t="s">
        <v>229</v>
      </c>
      <c r="J25" s="255" t="s">
        <v>284</v>
      </c>
      <c r="K25" s="256" t="s">
        <v>22</v>
      </c>
      <c r="L25" s="256" t="s">
        <v>269</v>
      </c>
      <c r="M25" s="257">
        <v>46174</v>
      </c>
      <c r="N25" s="258">
        <v>46387</v>
      </c>
      <c r="O25" s="254" t="s">
        <v>266</v>
      </c>
      <c r="P25" s="259" t="s">
        <v>267</v>
      </c>
      <c r="Q25" s="260"/>
      <c r="R25" s="345"/>
      <c r="S25" s="260"/>
      <c r="T25" s="260"/>
      <c r="U25" s="260"/>
      <c r="V25" s="260"/>
      <c r="W25" s="260"/>
      <c r="X25" s="260"/>
      <c r="Y25" s="355">
        <f>'ACN Riepilogo Costo Infra'!C18/1.22</f>
        <v>846.03100199999983</v>
      </c>
      <c r="Z25" s="313">
        <f>'ACN Riepilogo Costo Infra'!C18</f>
        <v>1032.1578224399998</v>
      </c>
      <c r="AA25" s="263"/>
      <c r="AB25" s="263"/>
      <c r="AC25" s="264"/>
      <c r="AD25" s="264"/>
      <c r="AE25" s="269"/>
    </row>
    <row r="26" spans="1:31" s="221" customFormat="1" ht="45" hidden="1" customHeight="1">
      <c r="A26" s="252" t="s">
        <v>261</v>
      </c>
      <c r="B26" s="252" t="s">
        <v>261</v>
      </c>
      <c r="C26" s="252" t="s">
        <v>261</v>
      </c>
      <c r="D26" s="252" t="s">
        <v>261</v>
      </c>
      <c r="E26" s="252" t="s">
        <v>261</v>
      </c>
      <c r="F26" s="252" t="s">
        <v>261</v>
      </c>
      <c r="G26" s="253"/>
      <c r="H26" s="334"/>
      <c r="I26" s="254" t="s">
        <v>227</v>
      </c>
      <c r="J26" s="255" t="s">
        <v>285</v>
      </c>
      <c r="K26" s="256" t="s">
        <v>22</v>
      </c>
      <c r="L26" s="256"/>
      <c r="M26" s="257">
        <v>46176</v>
      </c>
      <c r="N26" s="258"/>
      <c r="O26" s="254" t="s">
        <v>266</v>
      </c>
      <c r="P26" s="259" t="s">
        <v>267</v>
      </c>
      <c r="Q26" s="260"/>
      <c r="R26" s="345"/>
      <c r="S26" s="260"/>
      <c r="T26" s="260"/>
      <c r="U26" s="260"/>
      <c r="V26" s="260"/>
      <c r="W26" s="260"/>
      <c r="X26" s="335"/>
      <c r="Y26" s="261">
        <f>ROUNDUP(Q26*R26*V26*W26*X26,-2)</f>
        <v>0</v>
      </c>
      <c r="Z26" s="262"/>
      <c r="AA26" s="263"/>
      <c r="AB26" s="263"/>
      <c r="AC26" s="264"/>
      <c r="AD26" s="264"/>
      <c r="AE26" s="269"/>
    </row>
    <row r="27" spans="1:31" s="221" customFormat="1" ht="45" customHeight="1">
      <c r="A27" s="252" t="s">
        <v>261</v>
      </c>
      <c r="B27" s="252" t="s">
        <v>261</v>
      </c>
      <c r="C27" s="252" t="s">
        <v>261</v>
      </c>
      <c r="D27" s="252" t="s">
        <v>261</v>
      </c>
      <c r="E27" s="252" t="s">
        <v>261</v>
      </c>
      <c r="F27" s="252" t="s">
        <v>261</v>
      </c>
      <c r="G27" s="253"/>
      <c r="H27" s="268"/>
      <c r="I27" s="254" t="s">
        <v>231</v>
      </c>
      <c r="J27" s="255" t="s">
        <v>286</v>
      </c>
      <c r="K27" s="256" t="s">
        <v>22</v>
      </c>
      <c r="L27" s="256" t="s">
        <v>269</v>
      </c>
      <c r="M27" s="257">
        <v>46174</v>
      </c>
      <c r="N27" s="258">
        <v>46387</v>
      </c>
      <c r="O27" s="254" t="s">
        <v>266</v>
      </c>
      <c r="P27" s="259" t="s">
        <v>267</v>
      </c>
      <c r="Q27" s="260"/>
      <c r="R27" s="345"/>
      <c r="S27" s="260"/>
      <c r="T27" s="260"/>
      <c r="U27" s="260"/>
      <c r="V27" s="260"/>
      <c r="W27" s="260"/>
      <c r="X27" s="260"/>
      <c r="Y27" s="261"/>
      <c r="Z27" s="313">
        <f>'ACN Riepilogo Costo Infra'!C20</f>
        <v>9241.5085400000007</v>
      </c>
      <c r="AA27" s="263"/>
      <c r="AB27" s="263"/>
      <c r="AC27" s="264"/>
      <c r="AD27" s="269"/>
      <c r="AE27" s="269"/>
    </row>
    <row r="28" spans="1:31" s="221" customFormat="1" ht="45" hidden="1" customHeight="1">
      <c r="A28" s="252" t="s">
        <v>261</v>
      </c>
      <c r="B28" s="252" t="s">
        <v>261</v>
      </c>
      <c r="C28" s="252" t="s">
        <v>261</v>
      </c>
      <c r="D28" s="252" t="s">
        <v>261</v>
      </c>
      <c r="E28" s="252" t="s">
        <v>261</v>
      </c>
      <c r="F28" s="252" t="s">
        <v>261</v>
      </c>
      <c r="G28" s="253"/>
      <c r="H28" s="334"/>
      <c r="I28" s="254" t="s">
        <v>231</v>
      </c>
      <c r="J28" s="255" t="s">
        <v>287</v>
      </c>
      <c r="K28" s="256" t="s">
        <v>22</v>
      </c>
      <c r="L28" s="256" t="s">
        <v>288</v>
      </c>
      <c r="M28" s="257">
        <v>46054</v>
      </c>
      <c r="N28" s="258">
        <v>46387</v>
      </c>
      <c r="O28" s="254" t="s">
        <v>266</v>
      </c>
      <c r="P28" s="259" t="s">
        <v>267</v>
      </c>
      <c r="Q28" s="260"/>
      <c r="R28" s="345"/>
      <c r="S28" s="260"/>
      <c r="T28" s="260"/>
      <c r="U28" s="260"/>
      <c r="V28" s="260"/>
      <c r="W28" s="260"/>
      <c r="X28" s="335"/>
      <c r="Y28" s="261">
        <f>ROUNDUP(Q28*R28*V28*W28*X28,-2)</f>
        <v>0</v>
      </c>
      <c r="Z28" s="313"/>
      <c r="AA28" s="263"/>
      <c r="AB28" s="263"/>
      <c r="AC28" s="264"/>
      <c r="AD28" s="269"/>
      <c r="AE28" s="269"/>
    </row>
    <row r="30" spans="1:31" ht="45" customHeight="1">
      <c r="P30" s="270"/>
      <c r="Q30" s="271"/>
    </row>
  </sheetData>
  <mergeCells count="16">
    <mergeCell ref="B1:E1"/>
    <mergeCell ref="B2:E13"/>
    <mergeCell ref="G2:G8"/>
    <mergeCell ref="H2:H8"/>
    <mergeCell ref="I2:I8"/>
    <mergeCell ref="K2:K8"/>
    <mergeCell ref="L2:L8"/>
    <mergeCell ref="M2:M8"/>
    <mergeCell ref="G11:G13"/>
    <mergeCell ref="H11:H13"/>
    <mergeCell ref="I11:I13"/>
    <mergeCell ref="J11:J13"/>
    <mergeCell ref="K11:K13"/>
    <mergeCell ref="L11:L13"/>
    <mergeCell ref="M11:M13"/>
    <mergeCell ref="J2:J8"/>
  </mergeCells>
  <conditionalFormatting sqref="J2:J8">
    <cfRule type="cellIs" dxfId="43" priority="14" operator="greaterThan">
      <formula>0.14</formula>
    </cfRule>
    <cfRule type="cellIs" dxfId="42" priority="16" operator="between">
      <formula>0</formula>
      <formula>0.13</formula>
    </cfRule>
  </conditionalFormatting>
  <conditionalFormatting sqref="J11:J13">
    <cfRule type="cellIs" dxfId="41" priority="13" operator="between">
      <formula>0</formula>
      <formula>0.13</formula>
    </cfRule>
    <cfRule type="cellIs" dxfId="40" priority="15" operator="greaterThan">
      <formula>0.14</formula>
    </cfRule>
  </conditionalFormatting>
  <conditionalFormatting sqref="M2 M11">
    <cfRule type="dataBar" priority="30">
      <dataBar>
        <cfvo type="min"/>
        <cfvo type="max"/>
        <color rgb="FF63C384"/>
      </dataBar>
      <extLst>
        <ext xmlns:x14="http://schemas.microsoft.com/office/spreadsheetml/2009/9/main" uri="{B025F937-C7B1-47D3-B67F-A62EFF666E3E}">
          <x14:id>{940B7101-C3DF-48FF-8386-D1F040C67ABB}</x14:id>
        </ext>
      </extLst>
    </cfRule>
  </conditionalFormatting>
  <conditionalFormatting sqref="O10:P10">
    <cfRule type="cellIs" dxfId="39" priority="12" operator="equal">
      <formula>"check ko"</formula>
    </cfRule>
  </conditionalFormatting>
  <conditionalFormatting sqref="O15:P15">
    <cfRule type="cellIs" dxfId="38" priority="11" operator="equal">
      <formula>"check ko"</formula>
    </cfRule>
  </conditionalFormatting>
  <conditionalFormatting sqref="P9">
    <cfRule type="dataBar" priority="7">
      <dataBar>
        <cfvo type="min"/>
        <cfvo type="max"/>
        <color rgb="FF63C384"/>
      </dataBar>
      <extLst>
        <ext xmlns:x14="http://schemas.microsoft.com/office/spreadsheetml/2009/9/main" uri="{B025F937-C7B1-47D3-B67F-A62EFF666E3E}">
          <x14:id>{8EB02A63-AE40-41D5-8F54-8C1D7F501C96}</x14:id>
        </ext>
      </extLst>
    </cfRule>
  </conditionalFormatting>
  <conditionalFormatting sqref="P14">
    <cfRule type="dataBar" priority="17">
      <dataBar>
        <cfvo type="min"/>
        <cfvo type="max"/>
        <color rgb="FF63C384"/>
      </dataBar>
      <extLst>
        <ext xmlns:x14="http://schemas.microsoft.com/office/spreadsheetml/2009/9/main" uri="{B025F937-C7B1-47D3-B67F-A62EFF666E3E}">
          <x14:id>{704182F3-B334-45FE-8FBA-212D6EE1A231}</x14:id>
        </ext>
      </extLst>
    </cfRule>
  </conditionalFormatting>
  <conditionalFormatting sqref="Q4">
    <cfRule type="dataBar" priority="23">
      <dataBar>
        <cfvo type="min"/>
        <cfvo type="max"/>
        <color rgb="FF63C384"/>
      </dataBar>
      <extLst>
        <ext xmlns:x14="http://schemas.microsoft.com/office/spreadsheetml/2009/9/main" uri="{B025F937-C7B1-47D3-B67F-A62EFF666E3E}">
          <x14:id>{B115513E-614B-4072-9E19-E08230DACD1F}</x14:id>
        </ext>
      </extLst>
    </cfRule>
  </conditionalFormatting>
  <conditionalFormatting sqref="Q5">
    <cfRule type="dataBar" priority="41">
      <dataBar>
        <cfvo type="min"/>
        <cfvo type="max"/>
        <color rgb="FF63C384"/>
      </dataBar>
      <extLst>
        <ext xmlns:x14="http://schemas.microsoft.com/office/spreadsheetml/2009/9/main" uri="{B025F937-C7B1-47D3-B67F-A62EFF666E3E}">
          <x14:id>{4550FCCD-ACB3-463E-A532-7AE2ED445073}</x14:id>
        </ext>
      </extLst>
    </cfRule>
  </conditionalFormatting>
  <conditionalFormatting sqref="Q6">
    <cfRule type="dataBar" priority="21">
      <dataBar>
        <cfvo type="min"/>
        <cfvo type="max"/>
        <color rgb="FF63C384"/>
      </dataBar>
      <extLst>
        <ext xmlns:x14="http://schemas.microsoft.com/office/spreadsheetml/2009/9/main" uri="{B025F937-C7B1-47D3-B67F-A62EFF666E3E}">
          <x14:id>{2B47D4BD-4B81-425B-BA48-654D7CB786DA}</x14:id>
        </ext>
      </extLst>
    </cfRule>
  </conditionalFormatting>
  <conditionalFormatting sqref="Q7">
    <cfRule type="dataBar" priority="20">
      <dataBar>
        <cfvo type="min"/>
        <cfvo type="max"/>
        <color rgb="FF63C384"/>
      </dataBar>
      <extLst>
        <ext xmlns:x14="http://schemas.microsoft.com/office/spreadsheetml/2009/9/main" uri="{B025F937-C7B1-47D3-B67F-A62EFF666E3E}">
          <x14:id>{253EF5D8-1117-40F0-A200-635A4AEEDB02}</x14:id>
        </ext>
      </extLst>
    </cfRule>
  </conditionalFormatting>
  <conditionalFormatting sqref="Q8:Q9">
    <cfRule type="dataBar" priority="19">
      <dataBar>
        <cfvo type="min"/>
        <cfvo type="max"/>
        <color rgb="FF63C384"/>
      </dataBar>
      <extLst>
        <ext xmlns:x14="http://schemas.microsoft.com/office/spreadsheetml/2009/9/main" uri="{B025F937-C7B1-47D3-B67F-A62EFF666E3E}">
          <x14:id>{7C4E6894-F326-4FEC-9C60-3640363F1E56}</x14:id>
        </ext>
      </extLst>
    </cfRule>
  </conditionalFormatting>
  <conditionalFormatting sqref="Q11:Q13 Q2:Q3">
    <cfRule type="dataBar" priority="35">
      <dataBar>
        <cfvo type="min"/>
        <cfvo type="max"/>
        <color rgb="FF63C384"/>
      </dataBar>
      <extLst>
        <ext xmlns:x14="http://schemas.microsoft.com/office/spreadsheetml/2009/9/main" uri="{B025F937-C7B1-47D3-B67F-A62EFF666E3E}">
          <x14:id>{1A75D3CE-6D9C-42C1-BEF5-54364EED9B00}</x14:id>
        </ext>
      </extLst>
    </cfRule>
  </conditionalFormatting>
  <conditionalFormatting sqref="Q14:Q15">
    <cfRule type="dataBar" priority="18">
      <dataBar>
        <cfvo type="min"/>
        <cfvo type="max"/>
        <color rgb="FF63C384"/>
      </dataBar>
      <extLst>
        <ext xmlns:x14="http://schemas.microsoft.com/office/spreadsheetml/2009/9/main" uri="{B025F937-C7B1-47D3-B67F-A62EFF666E3E}">
          <x14:id>{E4345E89-2D8E-4BB4-8447-2205FE7707B7}</x14:id>
        </ext>
      </extLst>
    </cfRule>
  </conditionalFormatting>
  <conditionalFormatting sqref="R9 R14">
    <cfRule type="expression" dxfId="37" priority="5">
      <formula>$R$14&gt;$I$11</formula>
    </cfRule>
    <cfRule type="expression" dxfId="36" priority="6">
      <formula>$R$14&lt;$I$11</formula>
    </cfRule>
  </conditionalFormatting>
  <conditionalFormatting sqref="W2:W8">
    <cfRule type="cellIs" dxfId="35" priority="8" operator="greaterThan">
      <formula>0.04</formula>
    </cfRule>
    <cfRule type="cellIs" dxfId="34" priority="9" operator="lessThan">
      <formula>-0.04</formula>
    </cfRule>
    <cfRule type="cellIs" dxfId="33" priority="10" operator="between">
      <formula>-0.03</formula>
      <formula>0.03</formula>
    </cfRule>
  </conditionalFormatting>
  <conditionalFormatting sqref="Y9">
    <cfRule type="dataBar" priority="4">
      <dataBar>
        <cfvo type="min"/>
        <cfvo type="max"/>
        <color rgb="FF63C384"/>
      </dataBar>
      <extLst>
        <ext xmlns:x14="http://schemas.microsoft.com/office/spreadsheetml/2009/9/main" uri="{B025F937-C7B1-47D3-B67F-A62EFF666E3E}">
          <x14:id>{95EB1536-4E6D-4DFB-9F37-824C90F1F38E}</x14:id>
        </ext>
      </extLst>
    </cfRule>
  </conditionalFormatting>
  <conditionalFormatting sqref="Y14">
    <cfRule type="dataBar" priority="3">
      <dataBar>
        <cfvo type="min"/>
        <cfvo type="max"/>
        <color rgb="FF63C384"/>
      </dataBar>
      <extLst>
        <ext xmlns:x14="http://schemas.microsoft.com/office/spreadsheetml/2009/9/main" uri="{B025F937-C7B1-47D3-B67F-A62EFF666E3E}">
          <x14:id>{721C320B-C543-4722-8962-856E22599061}</x14:id>
        </ext>
      </extLst>
    </cfRule>
  </conditionalFormatting>
  <pageMargins left="0.7" right="0.7" top="0.75" bottom="0.75" header="0.3" footer="0.3"/>
  <pageSetup paperSize="9" orientation="portrait" r:id="rId1"/>
  <headerFooter>
    <oddFooter>&amp;C_x000D_&amp;1#&amp;"Aptos"&amp;10&amp;K3CB371 Crédit Agricole Italia - Pubblico</oddFooter>
  </headerFooter>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940B7101-C3DF-48FF-8386-D1F040C67ABB}">
            <x14:dataBar minLength="0" maxLength="100" border="1" negativeBarBorderColorSameAsPositive="0">
              <x14:cfvo type="autoMin"/>
              <x14:cfvo type="autoMax"/>
              <x14:borderColor rgb="FF63C384"/>
              <x14:negativeFillColor rgb="FFFF0000"/>
              <x14:negativeBorderColor rgb="FFFF0000"/>
              <x14:axisColor rgb="FF000000"/>
            </x14:dataBar>
          </x14:cfRule>
          <xm:sqref>M2 M11</xm:sqref>
        </x14:conditionalFormatting>
        <x14:conditionalFormatting xmlns:xm="http://schemas.microsoft.com/office/excel/2006/main">
          <x14:cfRule type="dataBar" id="{8EB02A63-AE40-41D5-8F54-8C1D7F501C96}">
            <x14:dataBar minLength="0" maxLength="100" border="1" negativeBarBorderColorSameAsPositive="0">
              <x14:cfvo type="autoMin"/>
              <x14:cfvo type="autoMax"/>
              <x14:borderColor rgb="FF63C384"/>
              <x14:negativeFillColor rgb="FFFF0000"/>
              <x14:negativeBorderColor rgb="FFFF0000"/>
              <x14:axisColor rgb="FF000000"/>
            </x14:dataBar>
          </x14:cfRule>
          <xm:sqref>P9</xm:sqref>
        </x14:conditionalFormatting>
        <x14:conditionalFormatting xmlns:xm="http://schemas.microsoft.com/office/excel/2006/main">
          <x14:cfRule type="dataBar" id="{704182F3-B334-45FE-8FBA-212D6EE1A231}">
            <x14:dataBar minLength="0" maxLength="100" border="1" negativeBarBorderColorSameAsPositive="0">
              <x14:cfvo type="autoMin"/>
              <x14:cfvo type="autoMax"/>
              <x14:borderColor rgb="FF63C384"/>
              <x14:negativeFillColor rgb="FFFF0000"/>
              <x14:negativeBorderColor rgb="FFFF0000"/>
              <x14:axisColor rgb="FF000000"/>
            </x14:dataBar>
          </x14:cfRule>
          <xm:sqref>P14</xm:sqref>
        </x14:conditionalFormatting>
        <x14:conditionalFormatting xmlns:xm="http://schemas.microsoft.com/office/excel/2006/main">
          <x14:cfRule type="dataBar" id="{B115513E-614B-4072-9E19-E08230DACD1F}">
            <x14:dataBar minLength="0" maxLength="100" border="1" negativeBarBorderColorSameAsPositive="0">
              <x14:cfvo type="autoMin"/>
              <x14:cfvo type="autoMax"/>
              <x14:borderColor rgb="FF63C384"/>
              <x14:negativeFillColor rgb="FFFF0000"/>
              <x14:negativeBorderColor rgb="FFFF0000"/>
              <x14:axisColor rgb="FF000000"/>
            </x14:dataBar>
          </x14:cfRule>
          <xm:sqref>Q4</xm:sqref>
        </x14:conditionalFormatting>
        <x14:conditionalFormatting xmlns:xm="http://schemas.microsoft.com/office/excel/2006/main">
          <x14:cfRule type="dataBar" id="{4550FCCD-ACB3-463E-A532-7AE2ED445073}">
            <x14:dataBar minLength="0" maxLength="100" border="1" negativeBarBorderColorSameAsPositive="0">
              <x14:cfvo type="autoMin"/>
              <x14:cfvo type="autoMax"/>
              <x14:borderColor rgb="FF63C384"/>
              <x14:negativeFillColor rgb="FFFF0000"/>
              <x14:negativeBorderColor rgb="FFFF0000"/>
              <x14:axisColor rgb="FF000000"/>
            </x14:dataBar>
          </x14:cfRule>
          <xm:sqref>Q5</xm:sqref>
        </x14:conditionalFormatting>
        <x14:conditionalFormatting xmlns:xm="http://schemas.microsoft.com/office/excel/2006/main">
          <x14:cfRule type="dataBar" id="{2B47D4BD-4B81-425B-BA48-654D7CB786DA}">
            <x14:dataBar minLength="0" maxLength="100" border="1" negativeBarBorderColorSameAsPositive="0">
              <x14:cfvo type="autoMin"/>
              <x14:cfvo type="autoMax"/>
              <x14:borderColor rgb="FF63C384"/>
              <x14:negativeFillColor rgb="FFFF0000"/>
              <x14:negativeBorderColor rgb="FFFF0000"/>
              <x14:axisColor rgb="FF000000"/>
            </x14:dataBar>
          </x14:cfRule>
          <xm:sqref>Q6</xm:sqref>
        </x14:conditionalFormatting>
        <x14:conditionalFormatting xmlns:xm="http://schemas.microsoft.com/office/excel/2006/main">
          <x14:cfRule type="dataBar" id="{253EF5D8-1117-40F0-A200-635A4AEEDB02}">
            <x14:dataBar minLength="0" maxLength="100" border="1" negativeBarBorderColorSameAsPositive="0">
              <x14:cfvo type="autoMin"/>
              <x14:cfvo type="autoMax"/>
              <x14:borderColor rgb="FF63C384"/>
              <x14:negativeFillColor rgb="FFFF0000"/>
              <x14:negativeBorderColor rgb="FFFF0000"/>
              <x14:axisColor rgb="FF000000"/>
            </x14:dataBar>
          </x14:cfRule>
          <xm:sqref>Q7</xm:sqref>
        </x14:conditionalFormatting>
        <x14:conditionalFormatting xmlns:xm="http://schemas.microsoft.com/office/excel/2006/main">
          <x14:cfRule type="dataBar" id="{7C4E6894-F326-4FEC-9C60-3640363F1E56}">
            <x14:dataBar minLength="0" maxLength="100" border="1" negativeBarBorderColorSameAsPositive="0">
              <x14:cfvo type="autoMin"/>
              <x14:cfvo type="autoMax"/>
              <x14:borderColor rgb="FF63C384"/>
              <x14:negativeFillColor rgb="FFFF0000"/>
              <x14:negativeBorderColor rgb="FFFF0000"/>
              <x14:axisColor rgb="FF000000"/>
            </x14:dataBar>
          </x14:cfRule>
          <xm:sqref>Q8:Q9</xm:sqref>
        </x14:conditionalFormatting>
        <x14:conditionalFormatting xmlns:xm="http://schemas.microsoft.com/office/excel/2006/main">
          <x14:cfRule type="dataBar" id="{1A75D3CE-6D9C-42C1-BEF5-54364EED9B00}">
            <x14:dataBar minLength="0" maxLength="100" border="1" negativeBarBorderColorSameAsPositive="0">
              <x14:cfvo type="autoMin"/>
              <x14:cfvo type="autoMax"/>
              <x14:borderColor rgb="FF63C384"/>
              <x14:negativeFillColor rgb="FFFF0000"/>
              <x14:negativeBorderColor rgb="FFFF0000"/>
              <x14:axisColor rgb="FF000000"/>
            </x14:dataBar>
          </x14:cfRule>
          <xm:sqref>Q11:Q13 Q2:Q3</xm:sqref>
        </x14:conditionalFormatting>
        <x14:conditionalFormatting xmlns:xm="http://schemas.microsoft.com/office/excel/2006/main">
          <x14:cfRule type="dataBar" id="{E4345E89-2D8E-4BB4-8447-2205FE7707B7}">
            <x14:dataBar minLength="0" maxLength="100" border="1" negativeBarBorderColorSameAsPositive="0">
              <x14:cfvo type="autoMin"/>
              <x14:cfvo type="autoMax"/>
              <x14:borderColor rgb="FF63C384"/>
              <x14:negativeFillColor rgb="FFFF0000"/>
              <x14:negativeBorderColor rgb="FFFF0000"/>
              <x14:axisColor rgb="FF000000"/>
            </x14:dataBar>
          </x14:cfRule>
          <xm:sqref>Q14:Q15</xm:sqref>
        </x14:conditionalFormatting>
        <x14:conditionalFormatting xmlns:xm="http://schemas.microsoft.com/office/excel/2006/main">
          <x14:cfRule type="dataBar" id="{95EB1536-4E6D-4DFB-9F37-824C90F1F38E}">
            <x14:dataBar minLength="0" maxLength="100" border="1" negativeBarBorderColorSameAsPositive="0">
              <x14:cfvo type="autoMin"/>
              <x14:cfvo type="autoMax"/>
              <x14:borderColor rgb="FF63C384"/>
              <x14:negativeFillColor rgb="FFFF0000"/>
              <x14:negativeBorderColor rgb="FFFF0000"/>
              <x14:axisColor rgb="FF000000"/>
            </x14:dataBar>
          </x14:cfRule>
          <xm:sqref>Y9</xm:sqref>
        </x14:conditionalFormatting>
        <x14:conditionalFormatting xmlns:xm="http://schemas.microsoft.com/office/excel/2006/main">
          <x14:cfRule type="dataBar" id="{721C320B-C543-4722-8962-856E22599061}">
            <x14:dataBar minLength="0" maxLength="100" border="1" negativeBarBorderColorSameAsPositive="0">
              <x14:cfvo type="autoMin"/>
              <x14:cfvo type="autoMax"/>
              <x14:borderColor rgb="FF63C384"/>
              <x14:negativeFillColor rgb="FFFF0000"/>
              <x14:negativeBorderColor rgb="FFFF0000"/>
              <x14:axisColor rgb="FF000000"/>
            </x14:dataBar>
          </x14:cfRule>
          <xm:sqref>Y14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Views>
    <sheetView tabSelected="1" zoomScaleNormal="100" workbookViewId="0">
      <selection activeCell="I5" sqref="I5"/>
    </sheetView>
  </sheetViews>
  <sheetFormatPr defaultColWidth="8.85546875" defaultRowHeight="14.45"/>
  <cols>
    <col min="1" max="1" width="21.5703125" bestFit="1" customWidth="1"/>
    <col min="2" max="2" width="51.7109375" bestFit="1" customWidth="1"/>
    <col min="3" max="3" width="14.7109375" customWidth="1"/>
    <col min="4" max="4" width="4.42578125" customWidth="1"/>
  </cols>
  <sheetData>
    <row r="1" spans="1:6" ht="15.6">
      <c r="A1" s="386" t="s">
        <v>289</v>
      </c>
      <c r="B1" s="387"/>
      <c r="C1" s="388"/>
    </row>
    <row r="2" spans="1:6" ht="15.6">
      <c r="A2" s="272" t="s">
        <v>290</v>
      </c>
      <c r="B2" s="273" t="s">
        <v>291</v>
      </c>
      <c r="C2" s="274" t="s">
        <v>292</v>
      </c>
    </row>
    <row r="3" spans="1:6" hidden="1">
      <c r="A3" s="311" t="str">
        <f>'Quadro Spese'!N2</f>
        <v>Governance</v>
      </c>
      <c r="B3" s="311" t="e">
        <f>'Quadro Spese'!#REF!</f>
        <v>#REF!</v>
      </c>
      <c r="C3" s="306">
        <f>'Quadro Spese'!P2</f>
        <v>0</v>
      </c>
      <c r="F3" s="305"/>
    </row>
    <row r="4" spans="1:6" ht="27.6">
      <c r="A4" s="307" t="str">
        <f>'Quadro Spese'!N3</f>
        <v>Provisioning-Configuration</v>
      </c>
      <c r="B4" s="307" t="str">
        <f>'Quadro Spese'!J18</f>
        <v>Realizzazione delle Pipeline e Supporto al DEV/OPS</v>
      </c>
      <c r="C4" s="306">
        <f>'Quadro Spese'!P3</f>
        <v>15347.6</v>
      </c>
    </row>
    <row r="5" spans="1:6" ht="138">
      <c r="A5" s="307" t="str">
        <f>'Quadro Spese'!N4</f>
        <v>QA</v>
      </c>
      <c r="B5" s="307" t="str">
        <f>'Quadro Spese'!J19</f>
        <v>Quality Assurance all’interno del progetto --&gt; verifica qualità del SW
- Verifica DR
- Observability
- Security (Istio Policy, Encryption, Vulnerability)
- DevOps
- Design e Code Review
- Architecture Compliance
- Infrastructure Compliance
- Testing e UAT</v>
      </c>
      <c r="C5" s="306">
        <f>'Quadro Spese'!P4</f>
        <v>27450</v>
      </c>
    </row>
    <row r="6" spans="1:6">
      <c r="A6" s="307" t="str">
        <f>'Quadro Spese'!N5</f>
        <v>Load Test</v>
      </c>
      <c r="B6" s="307" t="str">
        <f>'Quadro Spese'!J20</f>
        <v>Definizione, esecuzione e valutazione dei load test</v>
      </c>
      <c r="C6" s="306">
        <f>'Quadro Spese'!P5</f>
        <v>32208</v>
      </c>
    </row>
    <row r="7" spans="1:6">
      <c r="A7" s="307" t="str">
        <f>'Quadro Spese'!N6</f>
        <v>Observability</v>
      </c>
      <c r="B7" s="307" t="str">
        <f>'Quadro Spese'!J21</f>
        <v>Estensione delle dashboard di observability</v>
      </c>
      <c r="C7" s="306">
        <f>'Quadro Spese'!P6</f>
        <v>8662</v>
      </c>
    </row>
    <row r="8" spans="1:6" ht="46.9" customHeight="1">
      <c r="A8" s="307" t="str">
        <f>'Quadro Spese'!N7</f>
        <v>DevOps</v>
      </c>
      <c r="B8" s="307" t="s">
        <v>293</v>
      </c>
      <c r="C8" s="306">
        <f>'Quadro Spese'!P7</f>
        <v>0</v>
      </c>
    </row>
    <row r="9" spans="1:6">
      <c r="A9" s="308" t="str">
        <f>'Quadro Spese'!N8</f>
        <v>RFC</v>
      </c>
      <c r="B9" s="365" t="str">
        <f>'Quadro Spese'!J22</f>
        <v>Change Enablers</v>
      </c>
      <c r="C9" s="306">
        <f>'Quadro Spese'!P8</f>
        <v>7808</v>
      </c>
    </row>
    <row r="10" spans="1:6">
      <c r="A10" s="309" t="s">
        <v>294</v>
      </c>
      <c r="B10" s="309"/>
      <c r="C10" s="310">
        <f>SUM(C3:C9)</f>
        <v>91475.6</v>
      </c>
    </row>
    <row r="12" spans="1:6" ht="15.6">
      <c r="A12" s="386" t="s">
        <v>295</v>
      </c>
      <c r="B12" s="387"/>
      <c r="C12" s="388"/>
    </row>
    <row r="13" spans="1:6" ht="15.6">
      <c r="A13" s="272" t="s">
        <v>290</v>
      </c>
      <c r="B13" s="273" t="s">
        <v>291</v>
      </c>
      <c r="C13" s="274" t="s">
        <v>292</v>
      </c>
    </row>
    <row r="14" spans="1:6">
      <c r="A14" s="307" t="str">
        <f>'Quadro Spese'!N11</f>
        <v>Subscription</v>
      </c>
      <c r="B14" s="307" t="str">
        <f>'Quadro Spese'!J24</f>
        <v>Tot. licenze Infra</v>
      </c>
      <c r="C14" s="306">
        <f>'Quadro Spese'!P11</f>
        <v>19594.556154440004</v>
      </c>
    </row>
    <row r="15" spans="1:6">
      <c r="A15" s="307" t="str">
        <f>'Quadro Spese'!N12</f>
        <v>DC</v>
      </c>
      <c r="B15" s="312" t="str">
        <f>'Quadro Spese'!J27</f>
        <v>Canone running infrastruttura</v>
      </c>
      <c r="C15" s="306">
        <f>'Quadro Spese'!P12</f>
        <v>9241.5085400000007</v>
      </c>
    </row>
    <row r="16" spans="1:6" hidden="1">
      <c r="A16" s="307" t="str">
        <f>'Quadro Spese'!N13</f>
        <v>RFC</v>
      </c>
      <c r="B16" s="307" t="str">
        <f>'Quadro Spese'!J26</f>
        <v>Quota apertura / monitoring RFC</v>
      </c>
      <c r="C16" s="306">
        <f>'Quadro Spese'!P13</f>
        <v>0</v>
      </c>
    </row>
    <row r="17" spans="1:3">
      <c r="A17" s="309" t="s">
        <v>294</v>
      </c>
      <c r="B17" s="309"/>
      <c r="C17" s="310">
        <f>SUM(C14:C16)</f>
        <v>28836.064694440007</v>
      </c>
    </row>
  </sheetData>
  <mergeCells count="2">
    <mergeCell ref="A1:C1"/>
    <mergeCell ref="A12:C12"/>
  </mergeCells>
  <pageMargins left="0.7" right="0.7" top="0.75" bottom="0.75" header="0.3" footer="0.3"/>
  <headerFooter>
    <oddFooter>&amp;C_x000D_&amp;1#&amp;"Aptos"&amp;10&amp;K3CB371 Crédit Agricole Italia - Pubblico</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43"/>
  <sheetViews>
    <sheetView topLeftCell="A11" zoomScaleNormal="100" workbookViewId="0">
      <selection activeCell="A38" sqref="A38:E38"/>
    </sheetView>
  </sheetViews>
  <sheetFormatPr defaultRowHeight="14.45"/>
  <cols>
    <col min="1" max="1" width="49.42578125" bestFit="1" customWidth="1"/>
    <col min="2" max="2" width="22.140625" bestFit="1" customWidth="1"/>
    <col min="3" max="3" width="22.140625" customWidth="1"/>
    <col min="5" max="5" width="12" bestFit="1" customWidth="1"/>
    <col min="6" max="6" width="2.7109375" customWidth="1"/>
  </cols>
  <sheetData>
    <row r="1" spans="1:8" ht="15.6">
      <c r="A1" s="389" t="s">
        <v>296</v>
      </c>
      <c r="B1" s="389"/>
      <c r="C1" s="389"/>
      <c r="D1" s="389"/>
      <c r="E1" s="389"/>
    </row>
    <row r="2" spans="1:8" ht="14.45" customHeight="1">
      <c r="A2" s="318" t="s">
        <v>297</v>
      </c>
      <c r="B2" s="318" t="s">
        <v>298</v>
      </c>
      <c r="C2" s="318" t="s">
        <v>299</v>
      </c>
      <c r="D2" s="318" t="s">
        <v>300</v>
      </c>
      <c r="E2" s="318" t="s">
        <v>301</v>
      </c>
      <c r="G2" s="315"/>
      <c r="H2" s="315"/>
    </row>
    <row r="3" spans="1:8">
      <c r="A3" s="29" t="s">
        <v>302</v>
      </c>
      <c r="B3" s="319">
        <v>340</v>
      </c>
      <c r="C3" s="319" t="s">
        <v>303</v>
      </c>
      <c r="D3" s="29">
        <v>5</v>
      </c>
      <c r="E3" s="319">
        <f>B3*D3</f>
        <v>1700</v>
      </c>
      <c r="G3" s="315"/>
      <c r="H3" s="315"/>
    </row>
    <row r="4" spans="1:8">
      <c r="A4" s="29" t="s">
        <v>304</v>
      </c>
      <c r="B4" s="319">
        <v>320</v>
      </c>
      <c r="C4" s="319" t="s">
        <v>303</v>
      </c>
      <c r="D4" s="29">
        <v>12.5</v>
      </c>
      <c r="E4" s="319">
        <f t="shared" ref="E4:E5" si="0">B4*D4</f>
        <v>4000</v>
      </c>
      <c r="G4" s="315"/>
      <c r="H4" s="315"/>
    </row>
    <row r="5" spans="1:8">
      <c r="A5" s="29" t="s">
        <v>305</v>
      </c>
      <c r="B5" s="319">
        <v>260</v>
      </c>
      <c r="C5" s="319" t="s">
        <v>303</v>
      </c>
      <c r="D5" s="29">
        <v>0</v>
      </c>
      <c r="E5" s="319">
        <f t="shared" si="0"/>
        <v>0</v>
      </c>
      <c r="G5" s="315"/>
      <c r="H5" s="315"/>
    </row>
    <row r="6" spans="1:8">
      <c r="A6" s="29"/>
      <c r="B6" s="29"/>
      <c r="C6" s="29"/>
      <c r="D6" s="29"/>
      <c r="E6" s="320">
        <f>SUM(E3:E5)</f>
        <v>5700</v>
      </c>
      <c r="G6" s="315"/>
      <c r="H6" s="315"/>
    </row>
    <row r="7" spans="1:8">
      <c r="E7" s="314"/>
      <c r="G7" s="315"/>
      <c r="H7" s="315"/>
    </row>
    <row r="8" spans="1:8" ht="15.6">
      <c r="A8" s="389" t="s">
        <v>306</v>
      </c>
      <c r="B8" s="389"/>
      <c r="C8" s="389"/>
      <c r="D8" s="389"/>
      <c r="E8" s="389"/>
    </row>
    <row r="9" spans="1:8" ht="15.6">
      <c r="A9" s="318" t="s">
        <v>297</v>
      </c>
      <c r="B9" s="318" t="s">
        <v>298</v>
      </c>
      <c r="C9" s="318" t="s">
        <v>299</v>
      </c>
      <c r="D9" s="318" t="s">
        <v>300</v>
      </c>
      <c r="E9" s="318" t="s">
        <v>301</v>
      </c>
      <c r="G9" s="316"/>
      <c r="H9" s="316"/>
    </row>
    <row r="10" spans="1:8" ht="28.9">
      <c r="A10" s="19" t="s">
        <v>307</v>
      </c>
      <c r="B10" s="319">
        <v>450</v>
      </c>
      <c r="C10" s="319" t="s">
        <v>308</v>
      </c>
      <c r="D10" s="29">
        <v>13</v>
      </c>
      <c r="E10" s="319">
        <f>B10*D10</f>
        <v>5850</v>
      </c>
      <c r="G10" s="316"/>
      <c r="H10" s="316"/>
    </row>
    <row r="11" spans="1:8">
      <c r="A11" s="29" t="s">
        <v>309</v>
      </c>
      <c r="B11" s="319">
        <v>600</v>
      </c>
      <c r="C11" s="319" t="s">
        <v>308</v>
      </c>
      <c r="D11" s="29">
        <v>2</v>
      </c>
      <c r="E11" s="319">
        <f>B11*D11</f>
        <v>1200</v>
      </c>
      <c r="G11" s="316"/>
      <c r="H11" s="316"/>
    </row>
    <row r="12" spans="1:8">
      <c r="A12" s="29"/>
      <c r="B12" s="29"/>
      <c r="C12" s="29"/>
      <c r="D12" s="29"/>
      <c r="E12" s="320">
        <f>SUM(E9:E11)</f>
        <v>7050</v>
      </c>
      <c r="G12" s="316"/>
      <c r="H12" s="316"/>
    </row>
    <row r="13" spans="1:8">
      <c r="G13" s="316"/>
      <c r="H13" s="316"/>
    </row>
    <row r="14" spans="1:8" ht="15.6">
      <c r="A14" s="389" t="s">
        <v>310</v>
      </c>
      <c r="B14" s="389"/>
      <c r="C14" s="389"/>
      <c r="D14" s="389"/>
      <c r="E14" s="389"/>
    </row>
    <row r="15" spans="1:8" ht="15.6">
      <c r="A15" s="318" t="s">
        <v>297</v>
      </c>
      <c r="B15" s="318" t="s">
        <v>298</v>
      </c>
      <c r="C15" s="318" t="s">
        <v>311</v>
      </c>
      <c r="D15" s="318" t="s">
        <v>300</v>
      </c>
      <c r="E15" s="318" t="s">
        <v>301</v>
      </c>
    </row>
    <row r="16" spans="1:8">
      <c r="A16" s="19" t="s">
        <v>312</v>
      </c>
      <c r="B16" s="319">
        <v>750</v>
      </c>
      <c r="C16" s="319" t="s">
        <v>313</v>
      </c>
      <c r="D16" s="29"/>
      <c r="E16" s="319">
        <f>B16*D16</f>
        <v>0</v>
      </c>
    </row>
    <row r="18" spans="1:5" ht="15.6">
      <c r="A18" s="389" t="s">
        <v>314</v>
      </c>
      <c r="B18" s="389"/>
      <c r="C18" s="389"/>
      <c r="D18" s="389"/>
      <c r="E18" s="389"/>
    </row>
    <row r="19" spans="1:5" ht="15.6">
      <c r="A19" s="318" t="s">
        <v>297</v>
      </c>
      <c r="B19" s="318" t="s">
        <v>298</v>
      </c>
      <c r="C19" s="318" t="s">
        <v>299</v>
      </c>
      <c r="D19" s="318" t="s">
        <v>300</v>
      </c>
      <c r="E19" s="318" t="s">
        <v>301</v>
      </c>
    </row>
    <row r="20" spans="1:5">
      <c r="A20" s="19" t="s">
        <v>315</v>
      </c>
      <c r="B20" s="319">
        <v>930</v>
      </c>
      <c r="C20" s="319" t="s">
        <v>316</v>
      </c>
      <c r="E20" s="319">
        <f>B20*D21</f>
        <v>0</v>
      </c>
    </row>
    <row r="21" spans="1:5">
      <c r="A21" s="29" t="s">
        <v>317</v>
      </c>
      <c r="B21" s="319">
        <v>500</v>
      </c>
      <c r="C21" s="319" t="s">
        <v>308</v>
      </c>
      <c r="D21" s="29"/>
      <c r="E21" s="319">
        <f>B21*D22</f>
        <v>0</v>
      </c>
    </row>
    <row r="23" spans="1:5" ht="15.6">
      <c r="A23" s="389" t="s">
        <v>318</v>
      </c>
      <c r="B23" s="389"/>
      <c r="C23" s="389"/>
      <c r="D23" s="389"/>
      <c r="E23" s="389"/>
    </row>
    <row r="24" spans="1:5" ht="15.6">
      <c r="A24" s="318" t="s">
        <v>297</v>
      </c>
      <c r="B24" s="318" t="s">
        <v>298</v>
      </c>
      <c r="C24" s="318" t="s">
        <v>299</v>
      </c>
      <c r="D24" s="318" t="s">
        <v>300</v>
      </c>
      <c r="E24" s="318" t="s">
        <v>301</v>
      </c>
    </row>
    <row r="25" spans="1:5">
      <c r="A25" s="19" t="s">
        <v>319</v>
      </c>
      <c r="B25" s="319">
        <v>435</v>
      </c>
      <c r="C25" s="319" t="s">
        <v>308</v>
      </c>
      <c r="D25" s="29"/>
      <c r="E25" s="319">
        <f t="shared" ref="E25:E27" si="1">B25*D25</f>
        <v>0</v>
      </c>
    </row>
    <row r="26" spans="1:5">
      <c r="A26" s="29" t="s">
        <v>320</v>
      </c>
      <c r="B26" s="319">
        <v>610</v>
      </c>
      <c r="C26" s="319" t="s">
        <v>308</v>
      </c>
      <c r="D26" s="29"/>
      <c r="E26" s="319">
        <f t="shared" si="1"/>
        <v>0</v>
      </c>
    </row>
    <row r="27" spans="1:5">
      <c r="A27" s="29" t="s">
        <v>321</v>
      </c>
      <c r="B27" s="319">
        <v>450</v>
      </c>
      <c r="C27" s="319" t="s">
        <v>308</v>
      </c>
      <c r="D27" s="29"/>
      <c r="E27" s="319">
        <f t="shared" si="1"/>
        <v>0</v>
      </c>
    </row>
    <row r="29" spans="1:5" ht="15.6">
      <c r="A29" s="389" t="s">
        <v>322</v>
      </c>
      <c r="B29" s="389"/>
      <c r="C29" s="389"/>
      <c r="D29" s="389"/>
      <c r="E29" s="389"/>
    </row>
    <row r="30" spans="1:5" ht="15.6">
      <c r="A30" s="318" t="s">
        <v>297</v>
      </c>
      <c r="B30" s="318" t="s">
        <v>298</v>
      </c>
      <c r="C30" s="318" t="s">
        <v>299</v>
      </c>
      <c r="D30" s="318" t="s">
        <v>300</v>
      </c>
      <c r="E30" s="318" t="s">
        <v>301</v>
      </c>
    </row>
    <row r="31" spans="1:5">
      <c r="A31" s="19" t="s">
        <v>323</v>
      </c>
      <c r="B31" s="319">
        <v>500</v>
      </c>
      <c r="C31" s="319" t="s">
        <v>262</v>
      </c>
      <c r="D31" s="29">
        <v>12</v>
      </c>
      <c r="E31" s="319">
        <f t="shared" ref="E31:E36" si="2">B31*D31</f>
        <v>6000</v>
      </c>
    </row>
    <row r="32" spans="1:5">
      <c r="A32" s="29" t="s">
        <v>324</v>
      </c>
      <c r="B32" s="319">
        <v>500</v>
      </c>
      <c r="C32" s="319" t="s">
        <v>262</v>
      </c>
      <c r="D32" s="29">
        <v>1</v>
      </c>
      <c r="E32" s="319">
        <f t="shared" si="2"/>
        <v>500</v>
      </c>
    </row>
    <row r="33" spans="1:5">
      <c r="A33" s="29" t="s">
        <v>325</v>
      </c>
      <c r="B33" s="319">
        <v>450</v>
      </c>
      <c r="C33" s="319" t="s">
        <v>262</v>
      </c>
      <c r="D33" s="29">
        <v>5</v>
      </c>
      <c r="E33" s="319">
        <f t="shared" si="2"/>
        <v>2250</v>
      </c>
    </row>
    <row r="34" spans="1:5">
      <c r="A34" s="29" t="s">
        <v>326</v>
      </c>
      <c r="B34" s="343">
        <v>400</v>
      </c>
      <c r="C34" s="319" t="s">
        <v>262</v>
      </c>
      <c r="D34" s="29">
        <v>5</v>
      </c>
      <c r="E34" s="319">
        <f t="shared" si="2"/>
        <v>2000</v>
      </c>
    </row>
    <row r="35" spans="1:5">
      <c r="A35" s="29" t="s">
        <v>327</v>
      </c>
      <c r="B35" s="343">
        <v>330</v>
      </c>
      <c r="C35" s="319" t="s">
        <v>262</v>
      </c>
      <c r="D35" s="29">
        <v>3</v>
      </c>
      <c r="E35" s="319">
        <f t="shared" si="2"/>
        <v>990</v>
      </c>
    </row>
    <row r="36" spans="1:5">
      <c r="A36" s="29" t="s">
        <v>328</v>
      </c>
      <c r="B36" s="343">
        <v>280</v>
      </c>
      <c r="C36" s="319" t="s">
        <v>262</v>
      </c>
      <c r="D36" s="29">
        <v>3</v>
      </c>
      <c r="E36" s="319">
        <f t="shared" si="2"/>
        <v>840</v>
      </c>
    </row>
    <row r="37" spans="1:5">
      <c r="E37" s="354">
        <f>SUM(E31:E36)</f>
        <v>12580</v>
      </c>
    </row>
    <row r="38" spans="1:5" ht="15.6">
      <c r="A38" s="389" t="s">
        <v>276</v>
      </c>
      <c r="B38" s="389"/>
      <c r="C38" s="389"/>
      <c r="D38" s="389"/>
      <c r="E38" s="389"/>
    </row>
    <row r="39" spans="1:5" ht="15.6">
      <c r="A39" s="318" t="s">
        <v>297</v>
      </c>
      <c r="B39" s="318" t="s">
        <v>298</v>
      </c>
      <c r="C39" s="318" t="s">
        <v>299</v>
      </c>
      <c r="D39" s="318" t="s">
        <v>300</v>
      </c>
      <c r="E39" s="318" t="s">
        <v>301</v>
      </c>
    </row>
    <row r="40" spans="1:5">
      <c r="A40" s="19" t="s">
        <v>329</v>
      </c>
      <c r="B40" s="319">
        <v>400</v>
      </c>
      <c r="C40" s="319" t="s">
        <v>308</v>
      </c>
      <c r="D40" s="29">
        <v>21</v>
      </c>
      <c r="E40" s="319">
        <f t="shared" ref="E40:E42" si="3">B40*D40</f>
        <v>8400</v>
      </c>
    </row>
    <row r="41" spans="1:5">
      <c r="A41" s="29" t="s">
        <v>317</v>
      </c>
      <c r="B41" s="319">
        <v>500</v>
      </c>
      <c r="C41" s="319" t="s">
        <v>308</v>
      </c>
      <c r="D41" s="29">
        <v>4</v>
      </c>
      <c r="E41" s="319">
        <f t="shared" si="3"/>
        <v>2000</v>
      </c>
    </row>
    <row r="42" spans="1:5">
      <c r="A42" s="29" t="s">
        <v>330</v>
      </c>
      <c r="B42" s="319">
        <v>430</v>
      </c>
      <c r="C42" s="319" t="s">
        <v>308</v>
      </c>
      <c r="D42" s="29">
        <v>32</v>
      </c>
      <c r="E42" s="319">
        <f t="shared" si="3"/>
        <v>13760</v>
      </c>
    </row>
    <row r="43" spans="1:5">
      <c r="A43" s="29"/>
      <c r="B43" s="29"/>
      <c r="C43" s="29"/>
      <c r="D43" s="29"/>
      <c r="E43" s="320">
        <f>SUM(E40:E42)</f>
        <v>24160</v>
      </c>
    </row>
  </sheetData>
  <mergeCells count="7">
    <mergeCell ref="A38:E38"/>
    <mergeCell ref="A29:E29"/>
    <mergeCell ref="A1:E1"/>
    <mergeCell ref="A8:E8"/>
    <mergeCell ref="A14:E14"/>
    <mergeCell ref="A18:E18"/>
    <mergeCell ref="A23:E23"/>
  </mergeCells>
  <pageMargins left="0.7" right="0.7" top="0.75" bottom="0.75" header="0.3" footer="0.3"/>
  <headerFooter>
    <oddFooter>&amp;C_x000D_&amp;1#&amp;"Aptos"&amp;10&amp;K3CB371 Crédit Agricole Italia - Pubblico</oddFooter>
  </headerFooter>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Views>
    <sheetView topLeftCell="D34" zoomScaleNormal="100" workbookViewId="0">
      <selection activeCell="G56" sqref="G56"/>
    </sheetView>
  </sheetViews>
  <sheetFormatPr defaultColWidth="39.7109375" defaultRowHeight="14.45"/>
  <sheetData>
    <row r="1" spans="1:6" ht="16.899999999999999" customHeight="1">
      <c r="A1" s="391" t="s">
        <v>331</v>
      </c>
      <c r="B1" s="391"/>
      <c r="C1" s="391"/>
      <c r="D1" s="391"/>
      <c r="E1" s="391"/>
      <c r="F1" s="391"/>
    </row>
    <row r="2" spans="1:6" ht="16.899999999999999" customHeight="1"/>
    <row r="3" spans="1:6" ht="22.9">
      <c r="A3" s="275"/>
      <c r="B3" s="276" t="s">
        <v>332</v>
      </c>
      <c r="C3" s="276" t="s">
        <v>333</v>
      </c>
      <c r="D3" s="276" t="s">
        <v>334</v>
      </c>
      <c r="E3" s="276" t="s">
        <v>335</v>
      </c>
      <c r="F3" s="276" t="s">
        <v>336</v>
      </c>
    </row>
    <row r="4" spans="1:6">
      <c r="A4" s="358" t="s">
        <v>337</v>
      </c>
      <c r="B4" s="359" t="s">
        <v>230</v>
      </c>
      <c r="C4" s="359" t="s">
        <v>338</v>
      </c>
      <c r="D4" s="359" t="s">
        <v>339</v>
      </c>
      <c r="E4" s="359" t="s">
        <v>340</v>
      </c>
      <c r="F4" s="359" t="s">
        <v>341</v>
      </c>
    </row>
    <row r="5" spans="1:6">
      <c r="A5" s="358" t="s">
        <v>342</v>
      </c>
      <c r="B5" s="359" t="s">
        <v>230</v>
      </c>
      <c r="C5" s="359" t="s">
        <v>343</v>
      </c>
      <c r="D5" s="359" t="s">
        <v>344</v>
      </c>
      <c r="E5" s="359" t="s">
        <v>345</v>
      </c>
      <c r="F5" s="359" t="s">
        <v>346</v>
      </c>
    </row>
    <row r="6" spans="1:6">
      <c r="A6" s="358" t="s">
        <v>347</v>
      </c>
      <c r="B6" s="359" t="s">
        <v>230</v>
      </c>
      <c r="C6" s="359" t="s">
        <v>348</v>
      </c>
      <c r="D6" s="359" t="s">
        <v>349</v>
      </c>
      <c r="E6" s="359" t="s">
        <v>350</v>
      </c>
      <c r="F6" s="359" t="s">
        <v>351</v>
      </c>
    </row>
    <row r="7" spans="1:6">
      <c r="A7" s="358" t="s">
        <v>352</v>
      </c>
      <c r="B7" s="277" t="s">
        <v>353</v>
      </c>
      <c r="C7" s="277" t="s">
        <v>354</v>
      </c>
      <c r="D7" s="277" t="s">
        <v>354</v>
      </c>
      <c r="E7" s="277" t="s">
        <v>354</v>
      </c>
      <c r="F7" s="277" t="s">
        <v>354</v>
      </c>
    </row>
    <row r="8" spans="1:6">
      <c r="A8" s="358" t="s">
        <v>355</v>
      </c>
      <c r="B8" s="277" t="s">
        <v>356</v>
      </c>
      <c r="C8" s="277" t="s">
        <v>357</v>
      </c>
      <c r="D8" s="277" t="s">
        <v>358</v>
      </c>
      <c r="E8" s="277" t="s">
        <v>359</v>
      </c>
      <c r="F8" s="277" t="s">
        <v>360</v>
      </c>
    </row>
    <row r="9" spans="1:6">
      <c r="A9" s="358" t="s">
        <v>361</v>
      </c>
      <c r="B9" s="277" t="s">
        <v>356</v>
      </c>
      <c r="C9" s="277" t="s">
        <v>362</v>
      </c>
      <c r="D9" s="277" t="s">
        <v>363</v>
      </c>
      <c r="E9" s="277" t="s">
        <v>364</v>
      </c>
      <c r="F9" s="277" t="s">
        <v>365</v>
      </c>
    </row>
    <row r="10" spans="1:6">
      <c r="A10" s="358" t="s">
        <v>366</v>
      </c>
      <c r="B10" s="277" t="s">
        <v>356</v>
      </c>
      <c r="C10" s="277" t="s">
        <v>367</v>
      </c>
      <c r="D10" s="277" t="s">
        <v>358</v>
      </c>
      <c r="E10" s="277" t="s">
        <v>368</v>
      </c>
      <c r="F10" s="277" t="s">
        <v>369</v>
      </c>
    </row>
    <row r="11" spans="1:6">
      <c r="A11" s="358" t="s">
        <v>370</v>
      </c>
      <c r="B11" s="359" t="s">
        <v>356</v>
      </c>
      <c r="C11" s="359" t="s">
        <v>371</v>
      </c>
      <c r="D11" s="278">
        <v>11232</v>
      </c>
      <c r="E11" s="359" t="s">
        <v>372</v>
      </c>
      <c r="F11" s="359" t="s">
        <v>373</v>
      </c>
    </row>
    <row r="12" spans="1:6">
      <c r="A12" s="358" t="s">
        <v>374</v>
      </c>
      <c r="B12" s="359" t="s">
        <v>356</v>
      </c>
      <c r="C12" s="359" t="s">
        <v>375</v>
      </c>
      <c r="D12" s="359" t="s">
        <v>376</v>
      </c>
      <c r="E12" s="359" t="s">
        <v>377</v>
      </c>
      <c r="F12" s="359" t="s">
        <v>378</v>
      </c>
    </row>
    <row r="13" spans="1:6">
      <c r="A13" s="392" t="s">
        <v>379</v>
      </c>
      <c r="B13" s="393" t="s">
        <v>356</v>
      </c>
      <c r="C13" s="359" t="s">
        <v>380</v>
      </c>
      <c r="D13" s="359" t="s">
        <v>381</v>
      </c>
      <c r="E13" s="359" t="s">
        <v>382</v>
      </c>
      <c r="F13" s="359" t="s">
        <v>383</v>
      </c>
    </row>
    <row r="14" spans="1:6">
      <c r="A14" s="392"/>
      <c r="B14" s="393"/>
      <c r="C14" s="359" t="s">
        <v>384</v>
      </c>
      <c r="D14" s="359" t="s">
        <v>385</v>
      </c>
      <c r="E14" s="359" t="s">
        <v>386</v>
      </c>
      <c r="F14" s="359" t="s">
        <v>387</v>
      </c>
    </row>
    <row r="15" spans="1:6">
      <c r="A15" s="358" t="s">
        <v>388</v>
      </c>
      <c r="B15" s="359" t="s">
        <v>356</v>
      </c>
      <c r="C15" s="359" t="s">
        <v>389</v>
      </c>
      <c r="D15" s="359" t="s">
        <v>390</v>
      </c>
      <c r="E15" s="359" t="s">
        <v>391</v>
      </c>
      <c r="F15" s="359" t="s">
        <v>392</v>
      </c>
    </row>
    <row r="16" spans="1:6">
      <c r="A16" s="358" t="s">
        <v>393</v>
      </c>
      <c r="B16" s="359" t="s">
        <v>356</v>
      </c>
      <c r="C16" s="359" t="s">
        <v>394</v>
      </c>
      <c r="D16" s="359" t="s">
        <v>372</v>
      </c>
      <c r="E16" s="359" t="s">
        <v>395</v>
      </c>
      <c r="F16" s="359" t="s">
        <v>396</v>
      </c>
    </row>
    <row r="17" spans="1:6">
      <c r="A17" s="358" t="s">
        <v>397</v>
      </c>
      <c r="B17" s="359" t="s">
        <v>356</v>
      </c>
      <c r="C17" s="359" t="s">
        <v>398</v>
      </c>
      <c r="D17" s="359" t="s">
        <v>354</v>
      </c>
      <c r="E17" s="359" t="s">
        <v>354</v>
      </c>
      <c r="F17" s="359" t="s">
        <v>354</v>
      </c>
    </row>
    <row r="18" spans="1:6">
      <c r="A18" s="358" t="s">
        <v>399</v>
      </c>
      <c r="B18" s="359" t="s">
        <v>356</v>
      </c>
      <c r="C18" s="359" t="s">
        <v>398</v>
      </c>
      <c r="D18" s="359" t="s">
        <v>354</v>
      </c>
      <c r="E18" s="359" t="s">
        <v>354</v>
      </c>
      <c r="F18" s="359" t="s">
        <v>354</v>
      </c>
    </row>
    <row r="19" spans="1:6">
      <c r="A19" s="392" t="s">
        <v>400</v>
      </c>
      <c r="B19" s="393" t="s">
        <v>356</v>
      </c>
      <c r="C19" s="359" t="s">
        <v>401</v>
      </c>
      <c r="D19" s="359" t="s">
        <v>402</v>
      </c>
      <c r="E19" s="359" t="s">
        <v>403</v>
      </c>
      <c r="F19" s="359" t="s">
        <v>404</v>
      </c>
    </row>
    <row r="20" spans="1:6">
      <c r="A20" s="392"/>
      <c r="B20" s="393"/>
      <c r="C20" s="359" t="s">
        <v>405</v>
      </c>
      <c r="D20" s="359" t="s">
        <v>406</v>
      </c>
      <c r="E20" s="359" t="s">
        <v>407</v>
      </c>
      <c r="F20" s="359" t="s">
        <v>407</v>
      </c>
    </row>
    <row r="21" spans="1:6">
      <c r="A21" s="279" t="s">
        <v>408</v>
      </c>
      <c r="B21" s="390" t="s">
        <v>409</v>
      </c>
      <c r="C21" s="280" t="s">
        <v>410</v>
      </c>
      <c r="D21" s="280" t="s">
        <v>411</v>
      </c>
      <c r="E21" s="280" t="s">
        <v>412</v>
      </c>
      <c r="F21" s="390" t="s">
        <v>413</v>
      </c>
    </row>
    <row r="22" spans="1:6">
      <c r="A22" s="281" t="s">
        <v>414</v>
      </c>
      <c r="B22" s="390"/>
      <c r="C22" s="282" t="s">
        <v>415</v>
      </c>
      <c r="D22" s="282" t="s">
        <v>416</v>
      </c>
      <c r="E22" s="282" t="s">
        <v>417</v>
      </c>
      <c r="F22" s="390"/>
    </row>
    <row r="23" spans="1:6">
      <c r="A23" s="283" t="s">
        <v>418</v>
      </c>
      <c r="B23" s="390"/>
      <c r="C23" s="284"/>
      <c r="D23" s="284"/>
      <c r="E23" s="284"/>
      <c r="F23" s="390"/>
    </row>
    <row r="28" spans="1:6">
      <c r="D28" s="304"/>
      <c r="E28" s="304"/>
    </row>
  </sheetData>
  <mergeCells count="7">
    <mergeCell ref="B21:B23"/>
    <mergeCell ref="F21:F23"/>
    <mergeCell ref="A1:F1"/>
    <mergeCell ref="A13:A14"/>
    <mergeCell ref="B13:B14"/>
    <mergeCell ref="A19:A20"/>
    <mergeCell ref="B19:B20"/>
  </mergeCells>
  <pageMargins left="0.7" right="0.7" top="0.75" bottom="0.75" header="0.3" footer="0.3"/>
  <headerFooter>
    <oddFooter>&amp;C_x000D_&amp;1#&amp;"Aptos"&amp;10&amp;K3CB371 Crédit Agricole Italia - Pubblico</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J20"/>
  <sheetViews>
    <sheetView topLeftCell="A3" workbookViewId="0">
      <selection activeCell="E7" sqref="E7"/>
    </sheetView>
  </sheetViews>
  <sheetFormatPr defaultColWidth="8.5703125" defaultRowHeight="14.45"/>
  <cols>
    <col min="2" max="2" width="27.5703125" bestFit="1" customWidth="1"/>
    <col min="3" max="3" width="33.140625" bestFit="1" customWidth="1"/>
    <col min="4" max="5" width="13.42578125" bestFit="1" customWidth="1"/>
    <col min="6" max="6" width="19" bestFit="1" customWidth="1"/>
    <col min="7" max="7" width="23.42578125" bestFit="1" customWidth="1"/>
  </cols>
  <sheetData>
    <row r="3" spans="2:10" ht="41.85" customHeight="1">
      <c r="B3" s="403" t="s">
        <v>419</v>
      </c>
      <c r="C3" s="405" t="s">
        <v>420</v>
      </c>
      <c r="D3" s="285" t="s">
        <v>421</v>
      </c>
      <c r="E3" s="360" t="s">
        <v>421</v>
      </c>
      <c r="F3" s="407" t="s">
        <v>422</v>
      </c>
      <c r="G3" s="394" t="s">
        <v>423</v>
      </c>
    </row>
    <row r="4" spans="2:10">
      <c r="B4" s="404"/>
      <c r="C4" s="406"/>
      <c r="D4" s="286" t="s">
        <v>424</v>
      </c>
      <c r="E4" s="361" t="s">
        <v>425</v>
      </c>
      <c r="F4" s="408"/>
      <c r="G4" s="395"/>
    </row>
    <row r="5" spans="2:10" ht="15" thickBot="1">
      <c r="B5" s="396" t="s">
        <v>426</v>
      </c>
      <c r="C5" s="287"/>
      <c r="D5" s="288"/>
      <c r="E5" s="288"/>
      <c r="F5" s="289"/>
      <c r="G5" s="290"/>
    </row>
    <row r="6" spans="2:10" ht="15" thickBot="1">
      <c r="B6" s="396"/>
      <c r="C6" s="287"/>
      <c r="D6" s="291"/>
      <c r="E6" s="291"/>
      <c r="F6" s="292"/>
      <c r="G6" s="292"/>
    </row>
    <row r="7" spans="2:10" ht="15" thickBot="1">
      <c r="B7" s="396"/>
      <c r="C7" s="287"/>
      <c r="D7" s="291"/>
      <c r="E7" s="291"/>
      <c r="F7" s="292"/>
      <c r="G7" s="292"/>
    </row>
    <row r="8" spans="2:10" ht="15" thickBot="1">
      <c r="B8" s="396"/>
      <c r="C8" s="287"/>
      <c r="D8" s="291"/>
      <c r="E8" s="291"/>
      <c r="F8" s="292"/>
      <c r="G8" s="292"/>
    </row>
    <row r="9" spans="2:10" ht="15" thickBot="1">
      <c r="B9" s="397"/>
      <c r="C9" s="287"/>
      <c r="D9" s="291"/>
      <c r="E9" s="291"/>
      <c r="F9" s="292"/>
      <c r="G9" s="292"/>
    </row>
    <row r="10" spans="2:10" ht="15" thickBot="1">
      <c r="B10" s="293" t="s">
        <v>427</v>
      </c>
      <c r="C10" s="294"/>
      <c r="D10" s="295"/>
      <c r="E10" s="295"/>
      <c r="F10" s="296"/>
      <c r="G10" s="296"/>
    </row>
    <row r="11" spans="2:10" ht="15" thickBot="1">
      <c r="B11" s="398" t="s">
        <v>428</v>
      </c>
      <c r="C11" s="297"/>
      <c r="D11" s="297"/>
      <c r="E11" s="297"/>
      <c r="F11" s="297"/>
      <c r="G11" s="297"/>
    </row>
    <row r="12" spans="2:10" ht="15" thickBot="1">
      <c r="B12" s="399"/>
      <c r="C12" s="297"/>
      <c r="D12" s="297"/>
      <c r="E12" s="297"/>
      <c r="F12" s="297"/>
      <c r="G12" s="297"/>
    </row>
    <row r="13" spans="2:10" ht="15" thickBot="1">
      <c r="B13" s="398" t="s">
        <v>429</v>
      </c>
      <c r="C13" s="297"/>
      <c r="D13" s="297"/>
      <c r="E13" s="297"/>
      <c r="F13" s="297"/>
      <c r="G13" s="297"/>
    </row>
    <row r="14" spans="2:10" ht="15" thickBot="1">
      <c r="B14" s="400"/>
      <c r="C14" s="297"/>
      <c r="D14" s="297"/>
      <c r="E14" s="297"/>
      <c r="F14" s="297"/>
      <c r="G14" s="297"/>
      <c r="J14" s="297"/>
    </row>
    <row r="15" spans="2:10" ht="15" thickBot="1">
      <c r="B15" s="400"/>
      <c r="C15" s="297"/>
      <c r="D15" s="297"/>
      <c r="E15" s="297"/>
      <c r="F15" s="297"/>
      <c r="G15" s="297"/>
    </row>
    <row r="16" spans="2:10" ht="15" thickBot="1">
      <c r="B16" s="399"/>
      <c r="C16" s="297"/>
      <c r="D16" s="297"/>
      <c r="E16" s="297"/>
      <c r="F16" s="297"/>
      <c r="G16" s="297"/>
    </row>
    <row r="17" spans="2:7" ht="15" thickBot="1">
      <c r="B17" s="401" t="s">
        <v>430</v>
      </c>
      <c r="C17" s="297"/>
      <c r="D17" s="297"/>
      <c r="E17" s="297"/>
      <c r="F17" s="297"/>
      <c r="G17" s="297"/>
    </row>
    <row r="18" spans="2:7" ht="15" thickBot="1">
      <c r="B18" s="402"/>
      <c r="C18" s="297"/>
      <c r="D18" s="297"/>
      <c r="E18" s="297"/>
      <c r="F18" s="297"/>
      <c r="G18" s="297"/>
    </row>
    <row r="19" spans="2:7" ht="15" thickBot="1">
      <c r="B19" s="293" t="s">
        <v>431</v>
      </c>
      <c r="C19" s="294"/>
      <c r="D19" s="295"/>
      <c r="E19" s="295"/>
      <c r="F19" s="296"/>
      <c r="G19" s="296"/>
    </row>
    <row r="20" spans="2:7" ht="22.9">
      <c r="B20" s="298" t="s">
        <v>31</v>
      </c>
      <c r="C20" s="299"/>
      <c r="D20" s="300">
        <f>SUM(D5:D18)</f>
        <v>0</v>
      </c>
      <c r="E20" s="300">
        <f>SUM(E5:E18)</f>
        <v>0</v>
      </c>
      <c r="F20" s="301"/>
      <c r="G20" s="302"/>
    </row>
  </sheetData>
  <mergeCells count="8">
    <mergeCell ref="G3:G4"/>
    <mergeCell ref="B5:B9"/>
    <mergeCell ref="B11:B12"/>
    <mergeCell ref="B13:B16"/>
    <mergeCell ref="B17:B18"/>
    <mergeCell ref="B3:B4"/>
    <mergeCell ref="C3:C4"/>
    <mergeCell ref="F3:F4"/>
  </mergeCells>
  <pageMargins left="0.7" right="0.7" top="0.75" bottom="0.75" header="0.3" footer="0.3"/>
  <headerFooter>
    <oddFooter>&amp;C_x000D_&amp;1#&amp;"Aptos"&amp;10&amp;K3CB371 Crédit Agricole Italia - Pubblico</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F56"/>
  <sheetViews>
    <sheetView showGridLines="0" zoomScale="110" zoomScaleNormal="110" workbookViewId="0">
      <selection activeCell="B14" sqref="B14:E21"/>
    </sheetView>
  </sheetViews>
  <sheetFormatPr defaultRowHeight="14.45"/>
  <cols>
    <col min="1" max="1" width="4" customWidth="1"/>
    <col min="2" max="2" width="63.7109375" customWidth="1"/>
    <col min="3" max="3" width="15.85546875" style="2" bestFit="1" customWidth="1"/>
    <col min="4" max="4" width="13.28515625" style="2" customWidth="1"/>
    <col min="5" max="5" width="12.140625" style="2" bestFit="1" customWidth="1"/>
    <col min="6" max="6" width="13.28515625" style="2" bestFit="1" customWidth="1"/>
  </cols>
  <sheetData>
    <row r="1" spans="2:5">
      <c r="B1" s="90" t="s">
        <v>432</v>
      </c>
      <c r="C1" s="409">
        <v>1.22</v>
      </c>
      <c r="D1" s="410"/>
      <c r="E1" s="410"/>
    </row>
    <row r="2" spans="2:5">
      <c r="B2" s="88"/>
      <c r="C2" s="89"/>
      <c r="D2" s="89"/>
      <c r="E2" s="89"/>
    </row>
    <row r="3" spans="2:5" ht="43.15">
      <c r="B3" s="85" t="s">
        <v>433</v>
      </c>
      <c r="C3" s="86" t="s">
        <v>434</v>
      </c>
      <c r="D3" s="86" t="s">
        <v>435</v>
      </c>
      <c r="E3" s="74" t="s">
        <v>436</v>
      </c>
    </row>
    <row r="4" spans="2:5">
      <c r="B4" s="25" t="s">
        <v>437</v>
      </c>
      <c r="C4" s="31">
        <f>144.18*16</f>
        <v>2306.88</v>
      </c>
      <c r="D4" s="31">
        <f t="shared" ref="D4:D9" si="0">C4*$C$1</f>
        <v>2814.3935999999999</v>
      </c>
      <c r="E4" s="31">
        <f>37.76*16</f>
        <v>604.16</v>
      </c>
    </row>
    <row r="5" spans="2:5">
      <c r="B5" s="25" t="s">
        <v>438</v>
      </c>
      <c r="C5" s="31">
        <f>680.28*16</f>
        <v>10884.48</v>
      </c>
      <c r="D5" s="31">
        <f t="shared" si="0"/>
        <v>13279.0656</v>
      </c>
      <c r="E5" s="31">
        <f>168.84*16</f>
        <v>2701.44</v>
      </c>
    </row>
    <row r="6" spans="2:5">
      <c r="B6" s="25" t="s">
        <v>439</v>
      </c>
      <c r="C6" s="31">
        <v>898.56</v>
      </c>
      <c r="D6" s="31">
        <f t="shared" si="0"/>
        <v>1096.2431999999999</v>
      </c>
      <c r="E6" s="31"/>
    </row>
    <row r="7" spans="2:5">
      <c r="B7" s="25" t="s">
        <v>440</v>
      </c>
      <c r="C7" s="31">
        <v>1300</v>
      </c>
      <c r="D7" s="31">
        <f t="shared" si="0"/>
        <v>1586</v>
      </c>
      <c r="E7" s="31">
        <f>1586</f>
        <v>1586</v>
      </c>
    </row>
    <row r="8" spans="2:5">
      <c r="B8" s="26" t="s">
        <v>441</v>
      </c>
      <c r="C8" s="31">
        <v>919.4</v>
      </c>
      <c r="D8" s="31">
        <f t="shared" si="0"/>
        <v>1121.6679999999999</v>
      </c>
      <c r="E8" s="31">
        <f>C8</f>
        <v>919.4</v>
      </c>
    </row>
    <row r="9" spans="2:5">
      <c r="B9" s="26" t="s">
        <v>442</v>
      </c>
      <c r="C9" s="31">
        <v>695</v>
      </c>
      <c r="D9" s="31">
        <f t="shared" si="0"/>
        <v>847.9</v>
      </c>
      <c r="E9" s="31"/>
    </row>
    <row r="11" spans="2:5" ht="43.15">
      <c r="B11" s="85" t="s">
        <v>443</v>
      </c>
      <c r="C11" s="86" t="s">
        <v>434</v>
      </c>
      <c r="D11" s="86" t="s">
        <v>435</v>
      </c>
      <c r="E11" s="74" t="s">
        <v>436</v>
      </c>
    </row>
    <row r="12" spans="2:5">
      <c r="B12" s="25" t="s">
        <v>444</v>
      </c>
      <c r="C12" s="31">
        <v>2295</v>
      </c>
      <c r="D12" s="31">
        <f>C12*$C$1</f>
        <v>2799.9</v>
      </c>
      <c r="E12" s="31">
        <v>458</v>
      </c>
    </row>
    <row r="14" spans="2:5" ht="43.15">
      <c r="B14" s="85" t="s">
        <v>445</v>
      </c>
      <c r="C14" s="86" t="s">
        <v>434</v>
      </c>
      <c r="D14" s="86" t="s">
        <v>435</v>
      </c>
      <c r="E14" s="74" t="s">
        <v>436</v>
      </c>
    </row>
    <row r="15" spans="2:5">
      <c r="B15" s="25" t="s">
        <v>446</v>
      </c>
      <c r="C15" s="31">
        <f>420.62</f>
        <v>420.62</v>
      </c>
      <c r="D15" s="31">
        <f t="shared" ref="D15:D17" si="1">C15*$C$1</f>
        <v>513.15639999999996</v>
      </c>
      <c r="E15" s="31">
        <f>C15*1.22</f>
        <v>513.15639999999996</v>
      </c>
    </row>
    <row r="16" spans="2:5" ht="28.9">
      <c r="B16" s="26" t="s">
        <v>447</v>
      </c>
      <c r="C16" s="31">
        <f>951/1.22</f>
        <v>779.50819672131149</v>
      </c>
      <c r="D16" s="31">
        <f t="shared" si="1"/>
        <v>951</v>
      </c>
      <c r="E16" s="31">
        <f>C16*1.22</f>
        <v>951</v>
      </c>
    </row>
    <row r="17" spans="2:6" ht="20.25" customHeight="1">
      <c r="B17" s="19" t="s">
        <v>100</v>
      </c>
      <c r="C17" s="31">
        <f>(372.31/100000)*24*365</f>
        <v>32.614356000000001</v>
      </c>
      <c r="D17" s="31">
        <f t="shared" si="1"/>
        <v>39.789514320000002</v>
      </c>
      <c r="E17" s="31">
        <f>C17*1.22</f>
        <v>39.789514320000002</v>
      </c>
    </row>
    <row r="18" spans="2:6" ht="20.25" customHeight="1">
      <c r="B18" s="19" t="s">
        <v>102</v>
      </c>
      <c r="C18" s="31">
        <f>(1488.85/100000)*24*365</f>
        <v>130.42326</v>
      </c>
      <c r="D18" s="31">
        <f t="shared" ref="D18" si="2">C18*$C$1</f>
        <v>159.11637719999999</v>
      </c>
      <c r="E18" s="31">
        <f>C18*1.22</f>
        <v>159.11637719999999</v>
      </c>
    </row>
    <row r="19" spans="2:6" ht="20.25" customHeight="1">
      <c r="B19" s="19" t="s">
        <v>104</v>
      </c>
      <c r="C19" s="31">
        <f>(139/100000)*24*365</f>
        <v>12.176400000000001</v>
      </c>
      <c r="D19" s="31">
        <f t="shared" ref="D19" si="3">C19*$C$1</f>
        <v>14.855208000000001</v>
      </c>
      <c r="E19" s="31">
        <f>C19*1.22</f>
        <v>14.855208000000001</v>
      </c>
    </row>
    <row r="20" spans="2:6" ht="21" customHeight="1">
      <c r="B20" s="19" t="s">
        <v>106</v>
      </c>
      <c r="C20" s="31">
        <f>(1387/10000)*12*365</f>
        <v>607.50599999999997</v>
      </c>
      <c r="D20" s="31">
        <f t="shared" ref="D20:D21" si="4">C20*$C$1</f>
        <v>741.15731999999991</v>
      </c>
      <c r="E20" s="31">
        <f t="shared" ref="E20:E21" si="5">C20*1.22</f>
        <v>741.15731999999991</v>
      </c>
    </row>
    <row r="21" spans="2:6" ht="21" customHeight="1">
      <c r="B21" s="19" t="s">
        <v>108</v>
      </c>
      <c r="C21" s="31">
        <f>(486/1000000)*30</f>
        <v>1.4579999999999999E-2</v>
      </c>
      <c r="D21" s="31">
        <f t="shared" si="4"/>
        <v>1.7787599999999997E-2</v>
      </c>
      <c r="E21" s="31">
        <f t="shared" si="5"/>
        <v>1.7787599999999997E-2</v>
      </c>
    </row>
    <row r="22" spans="2:6" s="17" customFormat="1">
      <c r="C22" s="16"/>
      <c r="D22" s="16"/>
      <c r="E22" s="16"/>
      <c r="F22" s="16"/>
    </row>
    <row r="23" spans="2:6" ht="43.15">
      <c r="B23" s="85" t="s">
        <v>448</v>
      </c>
      <c r="C23" s="86" t="s">
        <v>434</v>
      </c>
      <c r="D23" s="52" t="s">
        <v>435</v>
      </c>
      <c r="E23" s="53" t="s">
        <v>436</v>
      </c>
    </row>
    <row r="24" spans="2:6">
      <c r="B24" s="83" t="s">
        <v>449</v>
      </c>
      <c r="C24" s="87">
        <v>1484.49</v>
      </c>
      <c r="D24" s="28">
        <f>C24*$C$1</f>
        <v>1811.0778</v>
      </c>
      <c r="E24" s="28">
        <f>C24</f>
        <v>1484.49</v>
      </c>
    </row>
    <row r="25" spans="2:6">
      <c r="B25" s="84" t="s">
        <v>450</v>
      </c>
      <c r="C25" s="9">
        <v>4100</v>
      </c>
      <c r="D25" s="28">
        <f>C25*1.22</f>
        <v>5002</v>
      </c>
      <c r="E25" s="28">
        <f>C25</f>
        <v>4100</v>
      </c>
    </row>
    <row r="26" spans="2:6">
      <c r="B26" s="84" t="s">
        <v>451</v>
      </c>
      <c r="C26" s="28">
        <v>6150</v>
      </c>
      <c r="D26" s="28">
        <f>C26*1.22</f>
        <v>7503</v>
      </c>
      <c r="E26" s="28">
        <f>C26</f>
        <v>6150</v>
      </c>
    </row>
    <row r="27" spans="2:6">
      <c r="B27" s="29" t="s">
        <v>452</v>
      </c>
      <c r="C27" s="9">
        <v>39.06</v>
      </c>
      <c r="D27" s="28">
        <f>C27*$C$1</f>
        <v>47.653199999999998</v>
      </c>
      <c r="E27" s="28">
        <f>7.81</f>
        <v>7.81</v>
      </c>
    </row>
    <row r="29" spans="2:6" ht="43.15">
      <c r="B29" s="85" t="s">
        <v>453</v>
      </c>
      <c r="C29" s="86" t="s">
        <v>434</v>
      </c>
      <c r="D29" s="86" t="s">
        <v>435</v>
      </c>
      <c r="E29" s="74" t="s">
        <v>436</v>
      </c>
    </row>
    <row r="30" spans="2:6">
      <c r="B30" s="25" t="s">
        <v>454</v>
      </c>
      <c r="C30" s="31">
        <f>2918*16</f>
        <v>46688</v>
      </c>
      <c r="D30" s="31">
        <f>C30*1.22</f>
        <v>56959.360000000001</v>
      </c>
      <c r="E30" s="31">
        <f>2004*16</f>
        <v>32064</v>
      </c>
    </row>
    <row r="32" spans="2:6" ht="43.15">
      <c r="B32" s="54" t="s">
        <v>455</v>
      </c>
      <c r="C32" s="52" t="s">
        <v>434</v>
      </c>
      <c r="D32" s="52" t="s">
        <v>435</v>
      </c>
      <c r="E32" s="53" t="s">
        <v>436</v>
      </c>
    </row>
    <row r="33" spans="2:5">
      <c r="B33" s="29" t="s">
        <v>456</v>
      </c>
      <c r="C33" s="28">
        <v>489.65</v>
      </c>
      <c r="D33" s="28">
        <v>597.37299999999993</v>
      </c>
      <c r="E33" s="28">
        <f>D33*25%</f>
        <v>149.34324999999998</v>
      </c>
    </row>
    <row r="35" spans="2:5" ht="43.15">
      <c r="B35" s="85" t="s">
        <v>457</v>
      </c>
      <c r="C35" s="86" t="s">
        <v>434</v>
      </c>
      <c r="D35" s="86" t="s">
        <v>435</v>
      </c>
      <c r="E35" s="74" t="s">
        <v>436</v>
      </c>
    </row>
    <row r="36" spans="2:5">
      <c r="B36" s="29" t="s">
        <v>458</v>
      </c>
      <c r="C36" s="28">
        <f>10.3/10</f>
        <v>1.03</v>
      </c>
      <c r="D36" s="28">
        <f>C36*$C$1</f>
        <v>1.2565999999999999</v>
      </c>
      <c r="E36" s="28">
        <f>2.06*1.22/10</f>
        <v>0.25131999999999999</v>
      </c>
    </row>
    <row r="38" spans="2:5" ht="43.15">
      <c r="B38" s="35" t="s">
        <v>459</v>
      </c>
      <c r="C38" s="30" t="s">
        <v>434</v>
      </c>
      <c r="D38" s="30" t="s">
        <v>435</v>
      </c>
      <c r="E38" s="74" t="s">
        <v>436</v>
      </c>
    </row>
    <row r="39" spans="2:5">
      <c r="B39" s="29" t="s">
        <v>460</v>
      </c>
      <c r="C39" s="28">
        <v>4152.66</v>
      </c>
      <c r="D39" s="28">
        <f>C39*$C$1</f>
        <v>5066.2451999999994</v>
      </c>
      <c r="E39" s="28">
        <f>830.53</f>
        <v>830.53</v>
      </c>
    </row>
    <row r="40" spans="2:5">
      <c r="B40" s="29" t="s">
        <v>461</v>
      </c>
      <c r="C40" s="28">
        <v>319</v>
      </c>
      <c r="D40" s="28">
        <f>C40*$C$1</f>
        <v>389.18</v>
      </c>
      <c r="E40" s="28">
        <f>C40</f>
        <v>319</v>
      </c>
    </row>
    <row r="41" spans="2:5">
      <c r="B41" s="29" t="s">
        <v>462</v>
      </c>
      <c r="C41" s="28">
        <v>996</v>
      </c>
      <c r="D41" s="28">
        <f>C41*$C$1</f>
        <v>1215.1199999999999</v>
      </c>
      <c r="E41" s="28">
        <v>1215.1199999999999</v>
      </c>
    </row>
    <row r="43" spans="2:5" ht="43.15">
      <c r="B43" s="35" t="s">
        <v>463</v>
      </c>
      <c r="C43" s="30" t="s">
        <v>434</v>
      </c>
      <c r="D43" s="30" t="s">
        <v>435</v>
      </c>
      <c r="E43" s="74" t="s">
        <v>436</v>
      </c>
    </row>
    <row r="44" spans="2:5">
      <c r="B44" s="29" t="s">
        <v>464</v>
      </c>
      <c r="C44" s="28">
        <v>885</v>
      </c>
      <c r="D44" s="28">
        <f>C44*$C$1</f>
        <v>1079.7</v>
      </c>
      <c r="E44" s="28">
        <f>C44</f>
        <v>885</v>
      </c>
    </row>
    <row r="45" spans="2:5">
      <c r="B45" s="29" t="s">
        <v>465</v>
      </c>
      <c r="C45" s="28">
        <v>22.04</v>
      </c>
      <c r="D45" s="28">
        <v>28.741847368421048</v>
      </c>
      <c r="E45" s="28">
        <f>5.75</f>
        <v>5.75</v>
      </c>
    </row>
    <row r="46" spans="2:5">
      <c r="B46" s="29" t="s">
        <v>91</v>
      </c>
      <c r="C46" s="28">
        <f>740/1.22</f>
        <v>606.55737704918033</v>
      </c>
      <c r="D46" s="28">
        <f>C46*1.22</f>
        <v>740</v>
      </c>
      <c r="E46" s="28">
        <f>D46</f>
        <v>740</v>
      </c>
    </row>
    <row r="47" spans="2:5">
      <c r="B47" s="29" t="s">
        <v>466</v>
      </c>
      <c r="C47" s="28">
        <f>370/1.22</f>
        <v>303.27868852459017</v>
      </c>
      <c r="D47" s="28">
        <f>C47*1.22</f>
        <v>370</v>
      </c>
      <c r="E47" s="28">
        <f>D47</f>
        <v>370</v>
      </c>
    </row>
    <row r="48" spans="2:5">
      <c r="B48" s="29" t="s">
        <v>94</v>
      </c>
      <c r="C48" s="28">
        <f>332/1.22</f>
        <v>272.13114754098359</v>
      </c>
      <c r="D48" s="28">
        <f>C48*$C$1</f>
        <v>332</v>
      </c>
      <c r="E48" s="28">
        <f>D48</f>
        <v>332</v>
      </c>
    </row>
    <row r="49" spans="2:5">
      <c r="B49" s="19" t="s">
        <v>95</v>
      </c>
      <c r="C49" s="28">
        <v>690.87</v>
      </c>
      <c r="D49" s="28">
        <f>C49*1.22</f>
        <v>842.8614</v>
      </c>
      <c r="E49" s="28">
        <f t="shared" ref="E49:E55" si="6">D49</f>
        <v>842.8614</v>
      </c>
    </row>
    <row r="50" spans="2:5">
      <c r="B50" s="19" t="s">
        <v>467</v>
      </c>
      <c r="C50" s="28">
        <v>464.69</v>
      </c>
      <c r="D50" s="28">
        <f>C50*1.22</f>
        <v>566.92179999999996</v>
      </c>
      <c r="E50" s="28">
        <f t="shared" si="6"/>
        <v>566.92179999999996</v>
      </c>
    </row>
    <row r="51" spans="2:5">
      <c r="B51" s="19" t="s">
        <v>468</v>
      </c>
      <c r="C51" s="28">
        <v>464.69</v>
      </c>
      <c r="D51" s="28">
        <f>C51*1.22</f>
        <v>566.92179999999996</v>
      </c>
      <c r="E51" s="28">
        <f t="shared" si="6"/>
        <v>566.92179999999996</v>
      </c>
    </row>
    <row r="52" spans="2:5">
      <c r="B52" s="19" t="s">
        <v>469</v>
      </c>
      <c r="C52" s="28">
        <f>D52/1.22</f>
        <v>12099.540983606557</v>
      </c>
      <c r="D52" s="28">
        <v>14761.44</v>
      </c>
      <c r="E52" s="28">
        <f t="shared" si="6"/>
        <v>14761.44</v>
      </c>
    </row>
    <row r="53" spans="2:5">
      <c r="B53" s="19" t="s">
        <v>470</v>
      </c>
      <c r="C53" s="28">
        <f>D53/1.22</f>
        <v>6049.7704918032787</v>
      </c>
      <c r="D53" s="28">
        <v>7380.72</v>
      </c>
      <c r="E53" s="28">
        <f t="shared" si="6"/>
        <v>7380.72</v>
      </c>
    </row>
    <row r="54" spans="2:5">
      <c r="B54" s="19" t="s">
        <v>471</v>
      </c>
      <c r="C54" s="28">
        <v>1249.8800000000001</v>
      </c>
      <c r="D54" s="28">
        <f>C54*1.22</f>
        <v>1524.8536000000001</v>
      </c>
      <c r="E54" s="28">
        <f t="shared" si="6"/>
        <v>1524.8536000000001</v>
      </c>
    </row>
    <row r="55" spans="2:5" ht="17.25" customHeight="1">
      <c r="B55" s="336" t="s">
        <v>472</v>
      </c>
      <c r="C55" s="337">
        <v>818.1</v>
      </c>
      <c r="D55" s="337">
        <f>C55*1.22</f>
        <v>998.08199999999999</v>
      </c>
      <c r="E55" s="337">
        <f t="shared" si="6"/>
        <v>998.08199999999999</v>
      </c>
    </row>
    <row r="56" spans="2:5">
      <c r="B56" s="29" t="s">
        <v>473</v>
      </c>
      <c r="C56" s="338">
        <v>2020</v>
      </c>
      <c r="D56" s="28">
        <f>C56*1.22</f>
        <v>2464.4</v>
      </c>
      <c r="E56" s="28">
        <f t="shared" ref="E56" si="7">D56</f>
        <v>2464.4</v>
      </c>
    </row>
  </sheetData>
  <mergeCells count="1">
    <mergeCell ref="C1:E1"/>
  </mergeCells>
  <pageMargins left="0.7" right="0.7" top="0.75" bottom="0.75" header="0.3" footer="0.3"/>
  <pageSetup paperSize="9" orientation="portrait" r:id="rId1"/>
  <headerFooter>
    <oddFooter>&amp;C_x000D_&amp;1#&amp;"Aptos"&amp;10&amp;K3CB371 Crédit Agricole Italia - Pubblico</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8"/>
  <sheetViews>
    <sheetView zoomScale="120" zoomScaleNormal="120" workbookViewId="0">
      <selection activeCell="I17" sqref="I17"/>
    </sheetView>
  </sheetViews>
  <sheetFormatPr defaultRowHeight="14.45"/>
  <cols>
    <col min="1" max="1" width="19" bestFit="1" customWidth="1"/>
    <col min="2" max="2" width="26.5703125" customWidth="1"/>
    <col min="3" max="3" width="18" bestFit="1" customWidth="1"/>
    <col min="4" max="5" width="17.7109375" bestFit="1" customWidth="1"/>
    <col min="6" max="6" width="5.85546875" bestFit="1" customWidth="1"/>
    <col min="7" max="7" width="13" bestFit="1" customWidth="1"/>
    <col min="8" max="8" width="13.7109375" bestFit="1" customWidth="1"/>
  </cols>
  <sheetData>
    <row r="1" spans="1:8">
      <c r="A1" s="127" t="s">
        <v>474</v>
      </c>
      <c r="B1" s="128" t="s">
        <v>475</v>
      </c>
      <c r="C1" s="126" t="s">
        <v>476</v>
      </c>
      <c r="D1" s="126" t="s">
        <v>477</v>
      </c>
      <c r="E1" s="126" t="s">
        <v>478</v>
      </c>
      <c r="F1" s="129"/>
    </row>
    <row r="2" spans="1:8">
      <c r="A2" s="411"/>
      <c r="B2" s="107" t="s">
        <v>479</v>
      </c>
      <c r="C2" s="105">
        <v>0</v>
      </c>
      <c r="D2" s="105">
        <v>0</v>
      </c>
      <c r="E2" s="112">
        <v>0</v>
      </c>
      <c r="F2" s="111"/>
    </row>
    <row r="3" spans="1:8">
      <c r="A3" s="412"/>
      <c r="B3" s="107" t="s">
        <v>480</v>
      </c>
      <c r="C3" s="105">
        <v>0</v>
      </c>
      <c r="D3" s="105">
        <v>0</v>
      </c>
      <c r="E3" s="112">
        <v>0</v>
      </c>
      <c r="F3" s="111"/>
    </row>
    <row r="4" spans="1:8" ht="28.9">
      <c r="A4" s="412"/>
      <c r="B4" s="104" t="s">
        <v>481</v>
      </c>
      <c r="C4" s="363"/>
      <c r="D4" s="107"/>
      <c r="E4" s="113"/>
      <c r="F4" s="111"/>
    </row>
    <row r="5" spans="1:8" ht="28.9">
      <c r="A5" s="412"/>
      <c r="B5" s="104" t="s">
        <v>482</v>
      </c>
      <c r="C5" s="363"/>
      <c r="D5" s="107"/>
      <c r="E5" s="113"/>
      <c r="F5" s="111"/>
    </row>
    <row r="6" spans="1:8" ht="43.15">
      <c r="A6" s="412"/>
      <c r="B6" s="104" t="s">
        <v>483</v>
      </c>
      <c r="C6" s="363" t="s">
        <v>484</v>
      </c>
      <c r="D6" s="363" t="s">
        <v>484</v>
      </c>
      <c r="E6" s="110" t="s">
        <v>484</v>
      </c>
      <c r="F6" s="111"/>
    </row>
    <row r="7" spans="1:8">
      <c r="A7" s="104"/>
      <c r="B7" s="104" t="s">
        <v>485</v>
      </c>
      <c r="C7" s="363" t="s">
        <v>477</v>
      </c>
      <c r="D7" s="363" t="s">
        <v>478</v>
      </c>
      <c r="E7" s="110" t="s">
        <v>486</v>
      </c>
      <c r="F7" s="363" t="s">
        <v>487</v>
      </c>
      <c r="G7" s="114" t="s">
        <v>488</v>
      </c>
      <c r="H7" s="363" t="s">
        <v>489</v>
      </c>
    </row>
    <row r="8" spans="1:8">
      <c r="A8" s="29" t="s">
        <v>490</v>
      </c>
      <c r="B8" s="97">
        <v>0</v>
      </c>
      <c r="C8" s="97">
        <v>0</v>
      </c>
      <c r="D8" s="97">
        <v>0</v>
      </c>
      <c r="E8" s="97">
        <v>0</v>
      </c>
      <c r="F8" s="97">
        <v>0</v>
      </c>
      <c r="G8" s="29">
        <f>(B8+C8+E8)*4</f>
        <v>0</v>
      </c>
      <c r="H8" s="29">
        <f>D8*4</f>
        <v>0</v>
      </c>
    </row>
    <row r="9" spans="1:8">
      <c r="A9" s="29" t="s">
        <v>491</v>
      </c>
      <c r="B9" s="97"/>
      <c r="C9" s="97">
        <v>0</v>
      </c>
      <c r="D9" s="97">
        <v>0</v>
      </c>
      <c r="E9" s="97">
        <v>0</v>
      </c>
      <c r="F9" s="97">
        <f t="shared" ref="F9:F13" si="0">SUM(B9:E9)</f>
        <v>0</v>
      </c>
      <c r="G9" s="29">
        <f>(B9+C9+E9)*8</f>
        <v>0</v>
      </c>
      <c r="H9" s="29">
        <f>D9*8</f>
        <v>0</v>
      </c>
    </row>
    <row r="10" spans="1:8">
      <c r="A10" s="29" t="s">
        <v>492</v>
      </c>
      <c r="B10" s="98">
        <v>0</v>
      </c>
      <c r="C10" s="98">
        <v>0</v>
      </c>
      <c r="D10" s="98">
        <v>0</v>
      </c>
      <c r="E10" s="98"/>
      <c r="F10" s="98">
        <f t="shared" si="0"/>
        <v>0</v>
      </c>
    </row>
    <row r="11" spans="1:8">
      <c r="A11" s="29" t="s">
        <v>493</v>
      </c>
      <c r="B11" s="29"/>
      <c r="C11" s="29"/>
      <c r="D11" s="98">
        <v>0</v>
      </c>
      <c r="E11" s="29"/>
      <c r="F11" s="98">
        <f t="shared" si="0"/>
        <v>0</v>
      </c>
    </row>
    <row r="12" spans="1:8">
      <c r="A12" s="29" t="s">
        <v>494</v>
      </c>
      <c r="B12" s="99">
        <v>0</v>
      </c>
      <c r="C12" s="99">
        <v>0</v>
      </c>
      <c r="D12" s="99">
        <v>0</v>
      </c>
      <c r="E12" s="99">
        <v>0</v>
      </c>
      <c r="F12" s="98">
        <f t="shared" si="0"/>
        <v>0</v>
      </c>
    </row>
    <row r="13" spans="1:8">
      <c r="A13" s="29" t="s">
        <v>495</v>
      </c>
      <c r="B13" s="99">
        <v>0</v>
      </c>
      <c r="C13" s="99">
        <v>0</v>
      </c>
      <c r="D13" s="99">
        <v>0</v>
      </c>
      <c r="E13" s="99">
        <v>0</v>
      </c>
      <c r="F13" s="98">
        <f t="shared" si="0"/>
        <v>0</v>
      </c>
    </row>
    <row r="14" spans="1:8">
      <c r="B14" s="46"/>
      <c r="C14" s="46"/>
      <c r="D14" s="46"/>
      <c r="E14" s="46"/>
    </row>
    <row r="15" spans="1:8">
      <c r="A15" s="127" t="s">
        <v>496</v>
      </c>
      <c r="B15" s="128" t="s">
        <v>475</v>
      </c>
      <c r="C15" s="126" t="s">
        <v>476</v>
      </c>
      <c r="D15" s="126" t="s">
        <v>477</v>
      </c>
      <c r="E15" s="126" t="s">
        <v>478</v>
      </c>
      <c r="F15" s="129"/>
    </row>
    <row r="16" spans="1:8">
      <c r="A16" s="413"/>
      <c r="B16" s="104" t="s">
        <v>497</v>
      </c>
      <c r="C16" s="363" t="s">
        <v>498</v>
      </c>
      <c r="D16" s="105" t="s">
        <v>499</v>
      </c>
      <c r="E16" s="110" t="s">
        <v>499</v>
      </c>
      <c r="F16" s="111"/>
    </row>
    <row r="17" spans="1:6">
      <c r="A17" s="413"/>
      <c r="B17" s="104" t="s">
        <v>500</v>
      </c>
      <c r="C17" s="363" t="s">
        <v>501</v>
      </c>
      <c r="D17" s="105" t="s">
        <v>502</v>
      </c>
      <c r="E17" s="110" t="s">
        <v>502</v>
      </c>
      <c r="F17" s="111"/>
    </row>
    <row r="18" spans="1:6">
      <c r="A18" s="413"/>
      <c r="B18" s="104" t="s">
        <v>503</v>
      </c>
      <c r="C18" s="363">
        <v>0</v>
      </c>
      <c r="D18" s="105">
        <v>0</v>
      </c>
      <c r="E18" s="110">
        <v>0</v>
      </c>
      <c r="F18" s="111"/>
    </row>
    <row r="19" spans="1:6" ht="28.9">
      <c r="A19" s="413"/>
      <c r="B19" s="104" t="s">
        <v>504</v>
      </c>
      <c r="C19" s="363" t="s">
        <v>505</v>
      </c>
      <c r="D19" s="105" t="s">
        <v>506</v>
      </c>
      <c r="E19" s="110" t="s">
        <v>506</v>
      </c>
      <c r="F19" s="111"/>
    </row>
    <row r="20" spans="1:6">
      <c r="A20" s="106"/>
      <c r="B20" s="104" t="s">
        <v>485</v>
      </c>
      <c r="C20" s="363" t="s">
        <v>477</v>
      </c>
      <c r="D20" s="363" t="s">
        <v>478</v>
      </c>
      <c r="E20" s="110" t="s">
        <v>486</v>
      </c>
      <c r="F20" s="109" t="s">
        <v>487</v>
      </c>
    </row>
    <row r="21" spans="1:6">
      <c r="A21" s="29" t="s">
        <v>490</v>
      </c>
      <c r="B21" s="97">
        <v>0</v>
      </c>
      <c r="C21" s="97">
        <v>0</v>
      </c>
      <c r="D21" s="97">
        <v>0</v>
      </c>
      <c r="E21" s="97"/>
      <c r="F21" s="97">
        <f>SUM(B21:E21)</f>
        <v>0</v>
      </c>
    </row>
    <row r="22" spans="1:6">
      <c r="A22" s="29" t="s">
        <v>491</v>
      </c>
      <c r="B22" s="97"/>
      <c r="C22" s="97"/>
      <c r="D22" s="97"/>
      <c r="E22" s="97"/>
      <c r="F22" s="97">
        <f t="shared" ref="F22:F27" si="1">SUM(B22:E22)</f>
        <v>0</v>
      </c>
    </row>
    <row r="23" spans="1:6">
      <c r="A23" s="29" t="s">
        <v>492</v>
      </c>
      <c r="B23" s="98">
        <v>0</v>
      </c>
      <c r="C23" s="98">
        <v>0</v>
      </c>
      <c r="D23" s="98">
        <v>0</v>
      </c>
      <c r="E23" s="98"/>
      <c r="F23" s="98">
        <f t="shared" si="1"/>
        <v>0</v>
      </c>
    </row>
    <row r="24" spans="1:6">
      <c r="A24" s="29" t="s">
        <v>493</v>
      </c>
      <c r="B24" s="29"/>
      <c r="C24" s="29"/>
      <c r="D24" s="98">
        <v>0</v>
      </c>
      <c r="E24" s="29"/>
      <c r="F24" s="98">
        <f t="shared" si="1"/>
        <v>0</v>
      </c>
    </row>
    <row r="25" spans="1:6">
      <c r="A25" s="29" t="s">
        <v>494</v>
      </c>
      <c r="B25" s="99"/>
      <c r="C25" s="99"/>
      <c r="D25" s="99"/>
      <c r="E25" s="99"/>
      <c r="F25" s="98">
        <f t="shared" si="1"/>
        <v>0</v>
      </c>
    </row>
    <row r="26" spans="1:6">
      <c r="A26" s="29" t="s">
        <v>495</v>
      </c>
      <c r="B26" s="99"/>
      <c r="C26" s="99"/>
      <c r="D26" s="99"/>
      <c r="E26" s="99"/>
      <c r="F26" s="98">
        <f t="shared" si="1"/>
        <v>0</v>
      </c>
    </row>
    <row r="27" spans="1:6">
      <c r="A27" s="29" t="s">
        <v>507</v>
      </c>
      <c r="B27" s="99">
        <v>0</v>
      </c>
      <c r="C27" s="99">
        <v>0</v>
      </c>
      <c r="D27" s="99">
        <v>0</v>
      </c>
      <c r="E27" s="99"/>
      <c r="F27" s="99">
        <f t="shared" si="1"/>
        <v>0</v>
      </c>
    </row>
    <row r="28" spans="1:6">
      <c r="B28" s="130"/>
      <c r="C28" s="130"/>
      <c r="D28" s="130"/>
      <c r="E28" s="130"/>
      <c r="F28" s="130"/>
    </row>
    <row r="29" spans="1:6">
      <c r="A29" s="133" t="s">
        <v>508</v>
      </c>
      <c r="B29" s="132"/>
      <c r="C29" s="132"/>
      <c r="D29" s="132"/>
      <c r="E29" s="132"/>
      <c r="F29" s="132"/>
    </row>
    <row r="30" spans="1:6">
      <c r="A30" s="362"/>
      <c r="B30" s="131" t="s">
        <v>485</v>
      </c>
      <c r="C30" s="364" t="s">
        <v>477</v>
      </c>
      <c r="D30" s="364" t="s">
        <v>478</v>
      </c>
      <c r="E30" s="364" t="s">
        <v>486</v>
      </c>
      <c r="F30" s="364"/>
    </row>
    <row r="31" spans="1:6">
      <c r="A31" s="29" t="s">
        <v>492</v>
      </c>
      <c r="B31" s="98">
        <v>0</v>
      </c>
      <c r="C31" s="98">
        <v>0</v>
      </c>
      <c r="D31" s="98">
        <v>0</v>
      </c>
      <c r="E31" s="98"/>
      <c r="F31" s="98">
        <f t="shared" ref="F31" si="2">SUM(B31:E31)</f>
        <v>0</v>
      </c>
    </row>
    <row r="32" spans="1:6">
      <c r="A32" s="29" t="s">
        <v>493</v>
      </c>
      <c r="B32" s="98">
        <v>0</v>
      </c>
      <c r="C32" s="98">
        <v>0</v>
      </c>
      <c r="D32" s="98">
        <v>0</v>
      </c>
      <c r="E32" s="98"/>
      <c r="F32" s="98">
        <f t="shared" ref="F32" si="3">SUM(B32:E32)</f>
        <v>0</v>
      </c>
    </row>
    <row r="34" spans="1:8">
      <c r="A34" s="127" t="s">
        <v>509</v>
      </c>
      <c r="B34" s="128" t="s">
        <v>475</v>
      </c>
      <c r="C34" s="126" t="s">
        <v>476</v>
      </c>
      <c r="D34" s="126" t="s">
        <v>477</v>
      </c>
      <c r="E34" s="126" t="s">
        <v>478</v>
      </c>
      <c r="F34" s="129"/>
    </row>
    <row r="35" spans="1:8">
      <c r="A35" s="413"/>
      <c r="B35" s="107" t="s">
        <v>479</v>
      </c>
      <c r="C35" s="363">
        <v>0</v>
      </c>
      <c r="D35" s="105">
        <v>0</v>
      </c>
      <c r="E35" s="110">
        <v>0</v>
      </c>
      <c r="F35" s="111"/>
    </row>
    <row r="36" spans="1:8" ht="28.9">
      <c r="A36" s="413"/>
      <c r="B36" s="104" t="s">
        <v>481</v>
      </c>
      <c r="C36" s="363">
        <v>0</v>
      </c>
      <c r="D36" s="105">
        <v>0</v>
      </c>
      <c r="E36" s="110">
        <v>0</v>
      </c>
      <c r="F36" s="111"/>
    </row>
    <row r="37" spans="1:8">
      <c r="A37" s="106"/>
      <c r="B37" s="104" t="s">
        <v>485</v>
      </c>
      <c r="C37" s="363" t="s">
        <v>477</v>
      </c>
      <c r="D37" s="363" t="s">
        <v>478</v>
      </c>
      <c r="E37" s="110" t="s">
        <v>486</v>
      </c>
      <c r="F37" s="109" t="s">
        <v>487</v>
      </c>
      <c r="G37" s="363" t="s">
        <v>488</v>
      </c>
      <c r="H37" s="363" t="s">
        <v>489</v>
      </c>
    </row>
    <row r="38" spans="1:8">
      <c r="A38" s="29" t="s">
        <v>490</v>
      </c>
      <c r="B38" s="97">
        <v>0</v>
      </c>
      <c r="C38" s="97">
        <v>0</v>
      </c>
      <c r="D38" s="97">
        <v>0</v>
      </c>
      <c r="E38" s="97">
        <v>0</v>
      </c>
      <c r="F38" s="97">
        <f>SUM(B38:E38)</f>
        <v>0</v>
      </c>
      <c r="G38" s="29">
        <f>(B38+C38+E38)*4</f>
        <v>0</v>
      </c>
      <c r="H38" s="29">
        <f>D38*4</f>
        <v>0</v>
      </c>
    </row>
    <row r="39" spans="1:8">
      <c r="A39" s="29" t="s">
        <v>491</v>
      </c>
      <c r="B39" s="97"/>
      <c r="C39" s="97"/>
      <c r="D39" s="97">
        <v>0</v>
      </c>
      <c r="E39" s="97">
        <v>0</v>
      </c>
      <c r="F39" s="97">
        <f t="shared" ref="F39:F44" si="4">SUM(B39:E39)</f>
        <v>0</v>
      </c>
      <c r="G39" s="29">
        <f>(B39+C39+E39)*4</f>
        <v>0</v>
      </c>
      <c r="H39" s="29">
        <f>D39*4</f>
        <v>0</v>
      </c>
    </row>
    <row r="40" spans="1:8">
      <c r="A40" s="29" t="s">
        <v>492</v>
      </c>
      <c r="B40" s="98">
        <v>0</v>
      </c>
      <c r="C40" s="98">
        <v>0</v>
      </c>
      <c r="D40" s="98">
        <v>0</v>
      </c>
      <c r="E40" s="98"/>
      <c r="F40" s="98">
        <f t="shared" si="4"/>
        <v>0</v>
      </c>
    </row>
    <row r="41" spans="1:8">
      <c r="A41" s="29" t="s">
        <v>493</v>
      </c>
      <c r="B41" s="29"/>
      <c r="C41" s="29"/>
      <c r="D41" s="98">
        <v>0</v>
      </c>
      <c r="E41" s="29"/>
      <c r="F41" s="98">
        <f t="shared" si="4"/>
        <v>0</v>
      </c>
    </row>
    <row r="42" spans="1:8">
      <c r="A42" s="29" t="s">
        <v>494</v>
      </c>
      <c r="B42" s="99">
        <v>0</v>
      </c>
      <c r="C42" s="99">
        <v>0</v>
      </c>
      <c r="D42" s="99">
        <v>0</v>
      </c>
      <c r="E42" s="99">
        <v>0</v>
      </c>
      <c r="F42" s="98">
        <f t="shared" si="4"/>
        <v>0</v>
      </c>
    </row>
    <row r="43" spans="1:8">
      <c r="A43" s="29" t="s">
        <v>495</v>
      </c>
      <c r="B43" s="99">
        <v>0</v>
      </c>
      <c r="C43" s="99">
        <v>0</v>
      </c>
      <c r="D43" s="99">
        <v>0</v>
      </c>
      <c r="E43" s="99">
        <v>0</v>
      </c>
      <c r="F43" s="98">
        <f t="shared" si="4"/>
        <v>0</v>
      </c>
    </row>
    <row r="44" spans="1:8">
      <c r="A44" s="29" t="s">
        <v>507</v>
      </c>
      <c r="B44" s="99"/>
      <c r="C44" s="99"/>
      <c r="D44" s="99"/>
      <c r="E44" s="99"/>
      <c r="F44" s="99">
        <f t="shared" si="4"/>
        <v>0</v>
      </c>
    </row>
    <row r="46" spans="1:8">
      <c r="A46" s="127" t="s">
        <v>510</v>
      </c>
      <c r="B46" s="128" t="s">
        <v>475</v>
      </c>
      <c r="C46" s="126" t="s">
        <v>476</v>
      </c>
      <c r="D46" s="126" t="s">
        <v>477</v>
      </c>
      <c r="E46" s="126" t="s">
        <v>478</v>
      </c>
      <c r="F46" s="129"/>
    </row>
    <row r="47" spans="1:8">
      <c r="A47" s="411"/>
      <c r="B47" s="104" t="s">
        <v>497</v>
      </c>
      <c r="C47" s="108">
        <v>0</v>
      </c>
      <c r="D47" s="105">
        <v>0</v>
      </c>
      <c r="E47" s="110">
        <v>0</v>
      </c>
      <c r="F47" s="111"/>
    </row>
    <row r="48" spans="1:8">
      <c r="A48" s="412"/>
      <c r="B48" s="104" t="s">
        <v>511</v>
      </c>
      <c r="C48" s="108">
        <v>0</v>
      </c>
      <c r="D48" s="105">
        <v>0</v>
      </c>
      <c r="E48" s="110">
        <v>0</v>
      </c>
      <c r="F48" s="111"/>
    </row>
    <row r="49" spans="1:6">
      <c r="A49" s="414"/>
      <c r="B49" s="104" t="s">
        <v>512</v>
      </c>
      <c r="C49" s="108">
        <v>0</v>
      </c>
      <c r="D49" s="105">
        <v>0</v>
      </c>
      <c r="E49" s="110">
        <v>0</v>
      </c>
      <c r="F49" s="111"/>
    </row>
    <row r="50" spans="1:6">
      <c r="A50" s="106"/>
      <c r="B50" s="104" t="s">
        <v>485</v>
      </c>
      <c r="C50" s="363" t="s">
        <v>477</v>
      </c>
      <c r="D50" s="363" t="s">
        <v>478</v>
      </c>
      <c r="E50" s="363" t="s">
        <v>486</v>
      </c>
      <c r="F50" s="109" t="s">
        <v>487</v>
      </c>
    </row>
    <row r="51" spans="1:6">
      <c r="A51" s="29" t="s">
        <v>490</v>
      </c>
      <c r="B51" s="97"/>
      <c r="C51" s="97"/>
      <c r="D51" s="97"/>
      <c r="E51" s="97"/>
      <c r="F51" s="97">
        <f>SUM(B51:E51)</f>
        <v>0</v>
      </c>
    </row>
    <row r="52" spans="1:6">
      <c r="A52" s="29" t="s">
        <v>491</v>
      </c>
      <c r="B52" s="97">
        <v>0</v>
      </c>
      <c r="C52" s="97">
        <v>0</v>
      </c>
      <c r="D52" s="97">
        <v>0</v>
      </c>
      <c r="E52" s="97"/>
      <c r="F52" s="97">
        <f t="shared" ref="F52:F57" si="5">SUM(B52:E52)</f>
        <v>0</v>
      </c>
    </row>
    <row r="53" spans="1:6">
      <c r="A53" s="29" t="s">
        <v>492</v>
      </c>
      <c r="B53" s="98">
        <v>0</v>
      </c>
      <c r="C53" s="98">
        <v>0</v>
      </c>
      <c r="D53" s="98">
        <v>0</v>
      </c>
      <c r="E53" s="98"/>
      <c r="F53" s="98">
        <f t="shared" si="5"/>
        <v>0</v>
      </c>
    </row>
    <row r="54" spans="1:6">
      <c r="A54" s="29" t="s">
        <v>493</v>
      </c>
      <c r="B54" s="29"/>
      <c r="C54" s="29"/>
      <c r="D54" s="98">
        <v>0</v>
      </c>
      <c r="E54" s="29"/>
      <c r="F54" s="98">
        <f t="shared" si="5"/>
        <v>0</v>
      </c>
    </row>
    <row r="55" spans="1:6">
      <c r="A55" s="29" t="s">
        <v>494</v>
      </c>
      <c r="B55" s="99"/>
      <c r="C55" s="99"/>
      <c r="D55" s="99"/>
      <c r="E55" s="99"/>
      <c r="F55" s="98">
        <f t="shared" si="5"/>
        <v>0</v>
      </c>
    </row>
    <row r="56" spans="1:6">
      <c r="A56" s="29" t="s">
        <v>495</v>
      </c>
      <c r="B56" s="99"/>
      <c r="C56" s="99"/>
      <c r="D56" s="99"/>
      <c r="E56" s="99"/>
      <c r="F56" s="98">
        <f t="shared" si="5"/>
        <v>0</v>
      </c>
    </row>
    <row r="57" spans="1:6">
      <c r="A57" s="29" t="s">
        <v>507</v>
      </c>
      <c r="B57" s="99">
        <v>0</v>
      </c>
      <c r="C57" s="99">
        <v>0</v>
      </c>
      <c r="D57" s="99">
        <v>0</v>
      </c>
      <c r="E57" s="99"/>
      <c r="F57" s="99">
        <f t="shared" si="5"/>
        <v>0</v>
      </c>
    </row>
    <row r="59" spans="1:6">
      <c r="A59" s="117" t="s">
        <v>513</v>
      </c>
      <c r="B59" s="111"/>
    </row>
    <row r="60" spans="1:6">
      <c r="A60" s="29" t="s">
        <v>490</v>
      </c>
      <c r="B60" s="29">
        <f>F38+F51+F21+F8</f>
        <v>0</v>
      </c>
    </row>
    <row r="61" spans="1:6">
      <c r="A61" s="29" t="s">
        <v>491</v>
      </c>
      <c r="B61" s="29">
        <f>F52+F39+F22+F9</f>
        <v>0</v>
      </c>
    </row>
    <row r="62" spans="1:6">
      <c r="A62" s="29" t="s">
        <v>492</v>
      </c>
      <c r="B62" s="115">
        <f>F53+F40+F23+F10+F31</f>
        <v>0</v>
      </c>
    </row>
    <row r="63" spans="1:6">
      <c r="A63" s="29" t="s">
        <v>493</v>
      </c>
      <c r="B63" s="115">
        <f>F11+F24+F32+F41+F54</f>
        <v>0</v>
      </c>
    </row>
    <row r="64" spans="1:6">
      <c r="A64" s="29" t="s">
        <v>494</v>
      </c>
      <c r="B64" s="115">
        <f>F12+F25+F42+F55</f>
        <v>0</v>
      </c>
    </row>
    <row r="65" spans="1:2">
      <c r="A65" s="29" t="s">
        <v>495</v>
      </c>
      <c r="B65" s="115">
        <f>F13+F26+F43+F56</f>
        <v>0</v>
      </c>
    </row>
    <row r="66" spans="1:2">
      <c r="A66" s="29" t="s">
        <v>507</v>
      </c>
      <c r="B66" s="116">
        <f>F57+F44+F27</f>
        <v>0</v>
      </c>
    </row>
    <row r="67" spans="1:2">
      <c r="A67" s="29" t="s">
        <v>514</v>
      </c>
      <c r="B67" s="29">
        <f>G8+G9+G38+G39</f>
        <v>0</v>
      </c>
    </row>
    <row r="68" spans="1:2">
      <c r="A68" s="29" t="s">
        <v>515</v>
      </c>
      <c r="B68" s="29">
        <f>H38+H39+H8+H9</f>
        <v>0</v>
      </c>
    </row>
  </sheetData>
  <mergeCells count="4">
    <mergeCell ref="A2:A6"/>
    <mergeCell ref="A16:A19"/>
    <mergeCell ref="A35:A36"/>
    <mergeCell ref="A47:A49"/>
  </mergeCells>
  <pageMargins left="0.7" right="0.7" top="0.75" bottom="0.75" header="0.3" footer="0.3"/>
  <pageSetup paperSize="9" orientation="portrait" r:id="rId1"/>
  <headerFooter>
    <oddFooter>&amp;C_x000D_&amp;1#&amp;"Aptos"&amp;10&amp;K3CB371 Crédit Agricole Italia - Pubblico</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2"/>
  <sheetViews>
    <sheetView workbookViewId="0">
      <selection activeCell="M1" sqref="M1:M1048576"/>
    </sheetView>
  </sheetViews>
  <sheetFormatPr defaultColWidth="9.140625" defaultRowHeight="14.45"/>
  <cols>
    <col min="1" max="1" width="40.140625" customWidth="1"/>
    <col min="2" max="2" width="15.85546875" bestFit="1" customWidth="1"/>
    <col min="3" max="3" width="12.140625" bestFit="1" customWidth="1"/>
    <col min="4" max="4" width="5.85546875" bestFit="1" customWidth="1"/>
    <col min="5" max="5" width="5.5703125" bestFit="1" customWidth="1"/>
    <col min="6" max="6" width="5" style="46" bestFit="1" customWidth="1"/>
    <col min="7" max="7" width="30.42578125" bestFit="1" customWidth="1"/>
    <col min="8" max="12" width="12.28515625" customWidth="1"/>
    <col min="13" max="13" width="12.28515625" bestFit="1" customWidth="1"/>
    <col min="14" max="15" width="11.5703125" customWidth="1"/>
    <col min="16" max="22" width="11.85546875" customWidth="1"/>
    <col min="23" max="23" width="15.85546875" bestFit="1" customWidth="1"/>
  </cols>
  <sheetData>
    <row r="1" spans="1:23">
      <c r="A1" s="416" t="s">
        <v>21</v>
      </c>
      <c r="B1" s="417" t="s">
        <v>516</v>
      </c>
      <c r="C1" s="417" t="s">
        <v>517</v>
      </c>
      <c r="D1" s="416" t="s">
        <v>23</v>
      </c>
      <c r="E1" s="416"/>
      <c r="F1" s="416"/>
      <c r="G1" s="417" t="s">
        <v>24</v>
      </c>
      <c r="H1" s="415" t="s">
        <v>518</v>
      </c>
      <c r="I1" s="420" t="s">
        <v>519</v>
      </c>
      <c r="J1" s="415" t="s">
        <v>520</v>
      </c>
      <c r="K1" s="415" t="s">
        <v>521</v>
      </c>
      <c r="L1" s="415" t="s">
        <v>522</v>
      </c>
      <c r="M1" s="415" t="s">
        <v>523</v>
      </c>
      <c r="N1" s="416" t="s">
        <v>31</v>
      </c>
      <c r="O1" s="416" t="s">
        <v>524</v>
      </c>
      <c r="P1" s="419" t="s">
        <v>525</v>
      </c>
      <c r="Q1" s="419" t="s">
        <v>526</v>
      </c>
      <c r="R1" s="419" t="s">
        <v>527</v>
      </c>
      <c r="S1" s="419" t="s">
        <v>528</v>
      </c>
      <c r="T1" s="419" t="s">
        <v>529</v>
      </c>
      <c r="U1" s="419" t="s">
        <v>530</v>
      </c>
      <c r="V1" s="419" t="s">
        <v>531</v>
      </c>
      <c r="W1" s="418" t="s">
        <v>532</v>
      </c>
    </row>
    <row r="2" spans="1:23">
      <c r="A2" s="416"/>
      <c r="B2" s="417"/>
      <c r="C2" s="417"/>
      <c r="D2" s="416" t="s">
        <v>533</v>
      </c>
      <c r="E2" s="416" t="s">
        <v>35</v>
      </c>
      <c r="F2" s="38" t="s">
        <v>534</v>
      </c>
      <c r="G2" s="417"/>
      <c r="H2" s="415"/>
      <c r="I2" s="421"/>
      <c r="J2" s="415"/>
      <c r="K2" s="415"/>
      <c r="L2" s="415"/>
      <c r="M2" s="415"/>
      <c r="N2" s="416"/>
      <c r="O2" s="416"/>
      <c r="P2" s="419"/>
      <c r="Q2" s="419"/>
      <c r="R2" s="419"/>
      <c r="S2" s="419"/>
      <c r="T2" s="419"/>
      <c r="U2" s="419"/>
      <c r="V2" s="419"/>
      <c r="W2" s="418"/>
    </row>
    <row r="3" spans="1:23">
      <c r="A3" s="416"/>
      <c r="B3" s="417"/>
      <c r="C3" s="417"/>
      <c r="D3" s="416"/>
      <c r="E3" s="416"/>
      <c r="F3" s="38" t="s">
        <v>40</v>
      </c>
      <c r="G3" s="417"/>
      <c r="H3" s="415"/>
      <c r="I3" s="422"/>
      <c r="J3" s="415"/>
      <c r="K3" s="415"/>
      <c r="L3" s="415"/>
      <c r="M3" s="415"/>
      <c r="N3" s="416"/>
      <c r="O3" s="416"/>
      <c r="P3" s="419"/>
      <c r="Q3" s="419"/>
      <c r="R3" s="419"/>
      <c r="S3" s="419"/>
      <c r="T3" s="419"/>
      <c r="U3" s="419"/>
      <c r="V3" s="419"/>
      <c r="W3" s="418"/>
    </row>
    <row r="4" spans="1:23">
      <c r="A4" s="45" t="s">
        <v>535</v>
      </c>
      <c r="B4" s="39" t="s">
        <v>536</v>
      </c>
      <c r="C4" s="39" t="s">
        <v>537</v>
      </c>
      <c r="D4" s="40">
        <v>4</v>
      </c>
      <c r="E4" s="40">
        <v>16</v>
      </c>
      <c r="F4" s="41"/>
      <c r="G4" s="42" t="s">
        <v>538</v>
      </c>
      <c r="H4" s="43">
        <v>684.05</v>
      </c>
      <c r="I4" s="43">
        <v>623.84</v>
      </c>
      <c r="J4" s="43">
        <v>586.23</v>
      </c>
      <c r="K4" s="43">
        <v>562.94000000000005</v>
      </c>
      <c r="L4" s="43">
        <v>551.79999999999995</v>
      </c>
      <c r="M4" s="43">
        <v>551.79999999999995</v>
      </c>
      <c r="N4" s="43">
        <f t="shared" ref="N4:N19" si="0">SUM(H4:M4)</f>
        <v>3560.66</v>
      </c>
      <c r="O4" s="43">
        <f t="shared" ref="O4:O19" si="1">N4*1.22</f>
        <v>4344.0051999999996</v>
      </c>
      <c r="P4" s="43" t="e">
        <f t="shared" ref="P4:P19" ca="1" si="2">IF(TODAY()&lt;DATEVALUE("31/07/2022"),H4,0)</f>
        <v>#VALUE!</v>
      </c>
      <c r="Q4" s="43" t="e">
        <f t="shared" ref="Q4:Q20" ca="1" si="3">IF(TODAY()&lt;DATEVALUE("31/07/2023"),I4,0)</f>
        <v>#VALUE!</v>
      </c>
      <c r="R4" s="43" t="e">
        <f t="shared" ref="R4:R19" ca="1" si="4">IF(TODAY()&lt;DATEVALUE("31/07/2024"),J4,0)</f>
        <v>#VALUE!</v>
      </c>
      <c r="S4" s="43" t="e">
        <f t="shared" ref="S4:S19" ca="1" si="5">IF(TODAY()&lt;DATEVALUE("31/07/2025"),K4,0)</f>
        <v>#VALUE!</v>
      </c>
      <c r="T4" s="43" t="e">
        <f t="shared" ref="T4:T19" ca="1" si="6">IF(TODAY()&lt;DATEVALUE("31/07/2026"),L4,0)</f>
        <v>#VALUE!</v>
      </c>
      <c r="U4" s="43" t="e">
        <f t="shared" ref="U4:V19" ca="1" si="7">IF(TODAY()&lt;DATEVALUE("31/07/2027"),M4,0)</f>
        <v>#VALUE!</v>
      </c>
      <c r="V4" s="43" t="e">
        <f t="shared" ca="1" si="7"/>
        <v>#VALUE!</v>
      </c>
      <c r="W4" s="44" t="e">
        <f t="shared" ref="W4:W19" ca="1" si="8">SUM(P4:V4)*1.22</f>
        <v>#VALUE!</v>
      </c>
    </row>
    <row r="5" spans="1:23">
      <c r="A5" s="45" t="s">
        <v>539</v>
      </c>
      <c r="B5" s="39" t="s">
        <v>536</v>
      </c>
      <c r="C5" s="39" t="s">
        <v>537</v>
      </c>
      <c r="D5" s="40">
        <v>8</v>
      </c>
      <c r="E5" s="40">
        <v>32</v>
      </c>
      <c r="F5" s="41"/>
      <c r="G5" s="42" t="s">
        <v>538</v>
      </c>
      <c r="H5" s="43">
        <v>862.08</v>
      </c>
      <c r="I5" s="43">
        <v>797.3</v>
      </c>
      <c r="J5" s="43">
        <v>759.68</v>
      </c>
      <c r="K5" s="43">
        <v>736.39</v>
      </c>
      <c r="L5" s="43">
        <v>725.25</v>
      </c>
      <c r="M5" s="43">
        <v>725.25</v>
      </c>
      <c r="N5" s="43">
        <f t="shared" si="0"/>
        <v>4605.95</v>
      </c>
      <c r="O5" s="43">
        <f t="shared" si="1"/>
        <v>5619.259</v>
      </c>
      <c r="P5" s="43" t="e">
        <f t="shared" ca="1" si="2"/>
        <v>#VALUE!</v>
      </c>
      <c r="Q5" s="43" t="e">
        <f t="shared" ca="1" si="3"/>
        <v>#VALUE!</v>
      </c>
      <c r="R5" s="43" t="e">
        <f t="shared" ca="1" si="4"/>
        <v>#VALUE!</v>
      </c>
      <c r="S5" s="43" t="e">
        <f t="shared" ca="1" si="5"/>
        <v>#VALUE!</v>
      </c>
      <c r="T5" s="43" t="e">
        <f t="shared" ca="1" si="6"/>
        <v>#VALUE!</v>
      </c>
      <c r="U5" s="43" t="e">
        <f t="shared" ca="1" si="7"/>
        <v>#VALUE!</v>
      </c>
      <c r="V5" s="43" t="e">
        <f t="shared" ca="1" si="7"/>
        <v>#VALUE!</v>
      </c>
      <c r="W5" s="44" t="e">
        <f t="shared" ca="1" si="8"/>
        <v>#VALUE!</v>
      </c>
    </row>
    <row r="6" spans="1:23">
      <c r="A6" s="45" t="s">
        <v>47</v>
      </c>
      <c r="B6" s="39" t="s">
        <v>540</v>
      </c>
      <c r="C6" s="39" t="s">
        <v>537</v>
      </c>
      <c r="D6" s="40"/>
      <c r="E6" s="40"/>
      <c r="F6" s="41">
        <v>1</v>
      </c>
      <c r="G6" s="42"/>
      <c r="H6" s="43">
        <v>2184.42</v>
      </c>
      <c r="I6" s="43">
        <v>465.93</v>
      </c>
      <c r="J6" s="43">
        <v>461.52</v>
      </c>
      <c r="K6" s="43">
        <v>457.12</v>
      </c>
      <c r="L6" s="43">
        <v>452.71</v>
      </c>
      <c r="M6" s="43">
        <v>2162.4</v>
      </c>
      <c r="N6" s="43">
        <f t="shared" si="0"/>
        <v>6184.1</v>
      </c>
      <c r="O6" s="43">
        <f t="shared" si="1"/>
        <v>7544.6019999999999</v>
      </c>
      <c r="P6" s="43" t="e">
        <f t="shared" ca="1" si="2"/>
        <v>#VALUE!</v>
      </c>
      <c r="Q6" s="43" t="e">
        <f t="shared" ca="1" si="3"/>
        <v>#VALUE!</v>
      </c>
      <c r="R6" s="43" t="e">
        <f t="shared" ca="1" si="4"/>
        <v>#VALUE!</v>
      </c>
      <c r="S6" s="43" t="e">
        <f t="shared" ca="1" si="5"/>
        <v>#VALUE!</v>
      </c>
      <c r="T6" s="43" t="e">
        <f t="shared" ca="1" si="6"/>
        <v>#VALUE!</v>
      </c>
      <c r="U6" s="43" t="e">
        <f t="shared" ca="1" si="7"/>
        <v>#VALUE!</v>
      </c>
      <c r="V6" s="43" t="e">
        <f t="shared" ca="1" si="7"/>
        <v>#VALUE!</v>
      </c>
      <c r="W6" s="44" t="e">
        <f t="shared" ca="1" si="8"/>
        <v>#VALUE!</v>
      </c>
    </row>
    <row r="7" spans="1:23">
      <c r="A7" s="45" t="s">
        <v>49</v>
      </c>
      <c r="B7" s="39" t="s">
        <v>540</v>
      </c>
      <c r="C7" s="39" t="s">
        <v>537</v>
      </c>
      <c r="D7" s="40"/>
      <c r="E7" s="40"/>
      <c r="F7" s="41" t="s">
        <v>50</v>
      </c>
      <c r="G7" s="42"/>
      <c r="H7" s="43">
        <v>201.55</v>
      </c>
      <c r="I7" s="43">
        <v>118.25</v>
      </c>
      <c r="J7" s="43">
        <v>116.24</v>
      </c>
      <c r="K7" s="43">
        <v>114.23</v>
      </c>
      <c r="L7" s="43">
        <v>112.21</v>
      </c>
      <c r="M7" s="43">
        <v>191.49</v>
      </c>
      <c r="N7" s="43">
        <f t="shared" si="0"/>
        <v>853.97</v>
      </c>
      <c r="O7" s="43">
        <f t="shared" si="1"/>
        <v>1041.8434</v>
      </c>
      <c r="P7" s="43" t="e">
        <f t="shared" ca="1" si="2"/>
        <v>#VALUE!</v>
      </c>
      <c r="Q7" s="43" t="e">
        <f t="shared" ca="1" si="3"/>
        <v>#VALUE!</v>
      </c>
      <c r="R7" s="43" t="e">
        <f t="shared" ca="1" si="4"/>
        <v>#VALUE!</v>
      </c>
      <c r="S7" s="43" t="e">
        <f t="shared" ca="1" si="5"/>
        <v>#VALUE!</v>
      </c>
      <c r="T7" s="43" t="e">
        <f t="shared" ca="1" si="6"/>
        <v>#VALUE!</v>
      </c>
      <c r="U7" s="43" t="e">
        <f t="shared" ca="1" si="7"/>
        <v>#VALUE!</v>
      </c>
      <c r="V7" s="43" t="e">
        <f t="shared" ca="1" si="7"/>
        <v>#VALUE!</v>
      </c>
      <c r="W7" s="44" t="e">
        <f t="shared" ca="1" si="8"/>
        <v>#VALUE!</v>
      </c>
    </row>
    <row r="8" spans="1:23">
      <c r="A8" s="45" t="s">
        <v>52</v>
      </c>
      <c r="B8" s="39" t="s">
        <v>540</v>
      </c>
      <c r="C8" s="39" t="s">
        <v>541</v>
      </c>
      <c r="D8" s="40"/>
      <c r="E8" s="40"/>
      <c r="F8" s="41">
        <v>1</v>
      </c>
      <c r="G8" s="42" t="s">
        <v>542</v>
      </c>
      <c r="H8" s="43">
        <v>868.35</v>
      </c>
      <c r="I8" s="43">
        <v>834.31</v>
      </c>
      <c r="J8" s="43">
        <v>819</v>
      </c>
      <c r="K8" s="43">
        <v>809.52</v>
      </c>
      <c r="L8" s="43">
        <v>804.98</v>
      </c>
      <c r="M8" s="43">
        <v>804.98</v>
      </c>
      <c r="N8" s="43">
        <f t="shared" si="0"/>
        <v>4941.1399999999994</v>
      </c>
      <c r="O8" s="43">
        <f t="shared" si="1"/>
        <v>6028.1907999999994</v>
      </c>
      <c r="P8" s="43" t="e">
        <f t="shared" ca="1" si="2"/>
        <v>#VALUE!</v>
      </c>
      <c r="Q8" s="43" t="e">
        <f t="shared" ca="1" si="3"/>
        <v>#VALUE!</v>
      </c>
      <c r="R8" s="43" t="e">
        <f t="shared" ca="1" si="4"/>
        <v>#VALUE!</v>
      </c>
      <c r="S8" s="43" t="e">
        <f t="shared" ca="1" si="5"/>
        <v>#VALUE!</v>
      </c>
      <c r="T8" s="43" t="e">
        <f t="shared" ca="1" si="6"/>
        <v>#VALUE!</v>
      </c>
      <c r="U8" s="43" t="e">
        <f t="shared" ca="1" si="7"/>
        <v>#VALUE!</v>
      </c>
      <c r="V8" s="43" t="e">
        <f t="shared" ca="1" si="7"/>
        <v>#VALUE!</v>
      </c>
      <c r="W8" s="44" t="e">
        <f t="shared" ca="1" si="8"/>
        <v>#VALUE!</v>
      </c>
    </row>
    <row r="9" spans="1:23">
      <c r="A9" s="45" t="s">
        <v>54</v>
      </c>
      <c r="B9" s="39" t="s">
        <v>540</v>
      </c>
      <c r="C9" s="39" t="s">
        <v>541</v>
      </c>
      <c r="D9" s="40"/>
      <c r="E9" s="40"/>
      <c r="F9" s="41">
        <v>1</v>
      </c>
      <c r="G9" s="42" t="s">
        <v>543</v>
      </c>
      <c r="H9" s="43">
        <v>553.22</v>
      </c>
      <c r="I9" s="43">
        <v>524.87</v>
      </c>
      <c r="J9" s="43">
        <v>509.56</v>
      </c>
      <c r="K9" s="43">
        <v>500.08</v>
      </c>
      <c r="L9" s="43">
        <v>495.55</v>
      </c>
      <c r="M9" s="43">
        <v>495.55</v>
      </c>
      <c r="N9" s="43">
        <f t="shared" si="0"/>
        <v>3078.8300000000004</v>
      </c>
      <c r="O9" s="43">
        <f t="shared" si="1"/>
        <v>3756.1726000000003</v>
      </c>
      <c r="P9" s="43" t="e">
        <f t="shared" ca="1" si="2"/>
        <v>#VALUE!</v>
      </c>
      <c r="Q9" s="43" t="e">
        <f t="shared" ca="1" si="3"/>
        <v>#VALUE!</v>
      </c>
      <c r="R9" s="43" t="e">
        <f t="shared" ca="1" si="4"/>
        <v>#VALUE!</v>
      </c>
      <c r="S9" s="43" t="e">
        <f t="shared" ca="1" si="5"/>
        <v>#VALUE!</v>
      </c>
      <c r="T9" s="43" t="e">
        <f t="shared" ca="1" si="6"/>
        <v>#VALUE!</v>
      </c>
      <c r="U9" s="43" t="e">
        <f t="shared" ca="1" si="7"/>
        <v>#VALUE!</v>
      </c>
      <c r="V9" s="43" t="e">
        <f t="shared" ca="1" si="7"/>
        <v>#VALUE!</v>
      </c>
      <c r="W9" s="44" t="e">
        <f t="shared" ca="1" si="8"/>
        <v>#VALUE!</v>
      </c>
    </row>
    <row r="10" spans="1:23">
      <c r="A10" s="45" t="s">
        <v>544</v>
      </c>
      <c r="B10" s="39" t="s">
        <v>540</v>
      </c>
      <c r="C10" s="39" t="s">
        <v>545</v>
      </c>
      <c r="D10" s="42"/>
      <c r="E10" s="42"/>
      <c r="F10" s="41">
        <v>1</v>
      </c>
      <c r="G10" s="42" t="s">
        <v>546</v>
      </c>
      <c r="H10" s="43">
        <v>498.93</v>
      </c>
      <c r="I10" s="43">
        <v>443.29</v>
      </c>
      <c r="J10" s="43">
        <v>405.68</v>
      </c>
      <c r="K10" s="43">
        <v>382.39</v>
      </c>
      <c r="L10" s="43">
        <v>371.25</v>
      </c>
      <c r="M10" s="43">
        <v>371.25</v>
      </c>
      <c r="N10" s="43">
        <f t="shared" si="0"/>
        <v>2472.79</v>
      </c>
      <c r="O10" s="43">
        <f t="shared" si="1"/>
        <v>3016.8037999999997</v>
      </c>
      <c r="P10" s="43" t="e">
        <f t="shared" ca="1" si="2"/>
        <v>#VALUE!</v>
      </c>
      <c r="Q10" s="43" t="e">
        <f t="shared" ca="1" si="3"/>
        <v>#VALUE!</v>
      </c>
      <c r="R10" s="43" t="e">
        <f t="shared" ca="1" si="4"/>
        <v>#VALUE!</v>
      </c>
      <c r="S10" s="43" t="e">
        <f t="shared" ca="1" si="5"/>
        <v>#VALUE!</v>
      </c>
      <c r="T10" s="43" t="e">
        <f t="shared" ca="1" si="6"/>
        <v>#VALUE!</v>
      </c>
      <c r="U10" s="43" t="e">
        <f t="shared" ca="1" si="7"/>
        <v>#VALUE!</v>
      </c>
      <c r="V10" s="43" t="e">
        <f t="shared" ca="1" si="7"/>
        <v>#VALUE!</v>
      </c>
      <c r="W10" s="44" t="e">
        <f t="shared" ca="1" si="8"/>
        <v>#VALUE!</v>
      </c>
    </row>
    <row r="11" spans="1:23" ht="27.6">
      <c r="A11" s="45" t="s">
        <v>547</v>
      </c>
      <c r="B11" s="39" t="s">
        <v>548</v>
      </c>
      <c r="C11" s="39" t="s">
        <v>545</v>
      </c>
      <c r="D11" s="42"/>
      <c r="E11" s="42"/>
      <c r="F11" s="41"/>
      <c r="G11" s="42" t="s">
        <v>549</v>
      </c>
      <c r="H11" s="43">
        <v>1062.29</v>
      </c>
      <c r="I11" s="43">
        <v>943</v>
      </c>
      <c r="J11" s="43">
        <v>863.74</v>
      </c>
      <c r="K11" s="43">
        <v>814.17</v>
      </c>
      <c r="L11" s="43">
        <v>790.43</v>
      </c>
      <c r="M11" s="43">
        <v>790.43</v>
      </c>
      <c r="N11" s="43">
        <f t="shared" si="0"/>
        <v>5264.06</v>
      </c>
      <c r="O11" s="43">
        <f t="shared" si="1"/>
        <v>6422.1532000000007</v>
      </c>
      <c r="P11" s="43" t="e">
        <f t="shared" ca="1" si="2"/>
        <v>#VALUE!</v>
      </c>
      <c r="Q11" s="43" t="e">
        <f t="shared" ca="1" si="3"/>
        <v>#VALUE!</v>
      </c>
      <c r="R11" s="43" t="e">
        <f t="shared" ca="1" si="4"/>
        <v>#VALUE!</v>
      </c>
      <c r="S11" s="43" t="e">
        <f t="shared" ca="1" si="5"/>
        <v>#VALUE!</v>
      </c>
      <c r="T11" s="43" t="e">
        <f t="shared" ca="1" si="6"/>
        <v>#VALUE!</v>
      </c>
      <c r="U11" s="43" t="e">
        <f t="shared" ca="1" si="7"/>
        <v>#VALUE!</v>
      </c>
      <c r="V11" s="43" t="e">
        <f t="shared" ca="1" si="7"/>
        <v>#VALUE!</v>
      </c>
      <c r="W11" s="44" t="e">
        <f t="shared" ca="1" si="8"/>
        <v>#VALUE!</v>
      </c>
    </row>
    <row r="12" spans="1:23" ht="27.6">
      <c r="A12" s="45" t="s">
        <v>550</v>
      </c>
      <c r="B12" s="39" t="s">
        <v>548</v>
      </c>
      <c r="C12" s="39" t="s">
        <v>545</v>
      </c>
      <c r="D12" s="42"/>
      <c r="E12" s="42"/>
      <c r="F12" s="41"/>
      <c r="G12" s="42" t="s">
        <v>549</v>
      </c>
      <c r="H12" s="43">
        <v>524.64</v>
      </c>
      <c r="I12" s="43">
        <v>466.14</v>
      </c>
      <c r="J12" s="43">
        <v>426.58</v>
      </c>
      <c r="K12" s="43">
        <v>402.09</v>
      </c>
      <c r="L12" s="43">
        <v>390.38</v>
      </c>
      <c r="M12" s="43">
        <v>390.38</v>
      </c>
      <c r="N12" s="43">
        <f t="shared" si="0"/>
        <v>2600.21</v>
      </c>
      <c r="O12" s="43">
        <f t="shared" si="1"/>
        <v>3172.2561999999998</v>
      </c>
      <c r="P12" s="43" t="e">
        <f t="shared" ca="1" si="2"/>
        <v>#VALUE!</v>
      </c>
      <c r="Q12" s="43" t="e">
        <f t="shared" ca="1" si="3"/>
        <v>#VALUE!</v>
      </c>
      <c r="R12" s="43" t="e">
        <f t="shared" ca="1" si="4"/>
        <v>#VALUE!</v>
      </c>
      <c r="S12" s="43" t="e">
        <f t="shared" ca="1" si="5"/>
        <v>#VALUE!</v>
      </c>
      <c r="T12" s="43" t="e">
        <f t="shared" ca="1" si="6"/>
        <v>#VALUE!</v>
      </c>
      <c r="U12" s="43" t="e">
        <f t="shared" ca="1" si="7"/>
        <v>#VALUE!</v>
      </c>
      <c r="V12" s="43" t="e">
        <f t="shared" ca="1" si="7"/>
        <v>#VALUE!</v>
      </c>
      <c r="W12" s="44" t="e">
        <f t="shared" ca="1" si="8"/>
        <v>#VALUE!</v>
      </c>
    </row>
    <row r="13" spans="1:23" ht="27.6">
      <c r="A13" s="45" t="s">
        <v>59</v>
      </c>
      <c r="B13" s="39" t="s">
        <v>548</v>
      </c>
      <c r="C13" s="39" t="s">
        <v>545</v>
      </c>
      <c r="D13" s="42"/>
      <c r="E13" s="42"/>
      <c r="F13" s="41"/>
      <c r="G13" s="42" t="s">
        <v>549</v>
      </c>
      <c r="H13" s="43">
        <v>699.52</v>
      </c>
      <c r="I13" s="43">
        <v>621.52</v>
      </c>
      <c r="J13" s="43">
        <v>568.78</v>
      </c>
      <c r="K13" s="43">
        <v>536.13</v>
      </c>
      <c r="L13" s="43">
        <v>520.51</v>
      </c>
      <c r="M13" s="43">
        <v>520.51</v>
      </c>
      <c r="N13" s="43">
        <f t="shared" si="0"/>
        <v>3466.9700000000003</v>
      </c>
      <c r="O13" s="43">
        <f t="shared" si="1"/>
        <v>4229.7034000000003</v>
      </c>
      <c r="P13" s="43" t="e">
        <f t="shared" ca="1" si="2"/>
        <v>#VALUE!</v>
      </c>
      <c r="Q13" s="43" t="e">
        <f t="shared" ca="1" si="3"/>
        <v>#VALUE!</v>
      </c>
      <c r="R13" s="43" t="e">
        <f t="shared" ca="1" si="4"/>
        <v>#VALUE!</v>
      </c>
      <c r="S13" s="43" t="e">
        <f t="shared" ca="1" si="5"/>
        <v>#VALUE!</v>
      </c>
      <c r="T13" s="43" t="e">
        <f t="shared" ca="1" si="6"/>
        <v>#VALUE!</v>
      </c>
      <c r="U13" s="43" t="e">
        <f t="shared" ca="1" si="7"/>
        <v>#VALUE!</v>
      </c>
      <c r="V13" s="43" t="e">
        <f t="shared" ca="1" si="7"/>
        <v>#VALUE!</v>
      </c>
      <c r="W13" s="44" t="e">
        <f t="shared" ca="1" si="8"/>
        <v>#VALUE!</v>
      </c>
    </row>
    <row r="14" spans="1:23" ht="27.6">
      <c r="A14" s="45" t="s">
        <v>60</v>
      </c>
      <c r="B14" s="39" t="s">
        <v>548</v>
      </c>
      <c r="C14" s="39" t="s">
        <v>545</v>
      </c>
      <c r="D14" s="42"/>
      <c r="E14" s="42"/>
      <c r="F14" s="41"/>
      <c r="G14" s="42" t="s">
        <v>549</v>
      </c>
      <c r="H14" s="43">
        <v>699.52</v>
      </c>
      <c r="I14" s="43">
        <v>621.52</v>
      </c>
      <c r="J14" s="43">
        <v>568.78</v>
      </c>
      <c r="K14" s="43">
        <v>536.13</v>
      </c>
      <c r="L14" s="43">
        <v>520.51</v>
      </c>
      <c r="M14" s="43">
        <v>520.51</v>
      </c>
      <c r="N14" s="43">
        <f t="shared" si="0"/>
        <v>3466.9700000000003</v>
      </c>
      <c r="O14" s="43">
        <f t="shared" si="1"/>
        <v>4229.7034000000003</v>
      </c>
      <c r="P14" s="43" t="e">
        <f t="shared" ca="1" si="2"/>
        <v>#VALUE!</v>
      </c>
      <c r="Q14" s="43" t="e">
        <f t="shared" ca="1" si="3"/>
        <v>#VALUE!</v>
      </c>
      <c r="R14" s="43" t="e">
        <f t="shared" ca="1" si="4"/>
        <v>#VALUE!</v>
      </c>
      <c r="S14" s="43" t="e">
        <f t="shared" ca="1" si="5"/>
        <v>#VALUE!</v>
      </c>
      <c r="T14" s="43" t="e">
        <f t="shared" ca="1" si="6"/>
        <v>#VALUE!</v>
      </c>
      <c r="U14" s="43" t="e">
        <f t="shared" ca="1" si="7"/>
        <v>#VALUE!</v>
      </c>
      <c r="V14" s="43" t="e">
        <f t="shared" ca="1" si="7"/>
        <v>#VALUE!</v>
      </c>
      <c r="W14" s="44" t="e">
        <f t="shared" ca="1" si="8"/>
        <v>#VALUE!</v>
      </c>
    </row>
    <row r="15" spans="1:23" ht="27.6">
      <c r="A15" s="45" t="s">
        <v>61</v>
      </c>
      <c r="B15" s="39" t="s">
        <v>548</v>
      </c>
      <c r="C15" s="39" t="s">
        <v>545</v>
      </c>
      <c r="D15" s="42"/>
      <c r="E15" s="42"/>
      <c r="F15" s="41"/>
      <c r="G15" s="42" t="s">
        <v>551</v>
      </c>
      <c r="H15" s="43">
        <v>330.8</v>
      </c>
      <c r="I15" s="43">
        <v>293.91000000000003</v>
      </c>
      <c r="J15" s="43">
        <v>268.97000000000003</v>
      </c>
      <c r="K15" s="43">
        <v>253.53</v>
      </c>
      <c r="L15" s="43">
        <v>246.14</v>
      </c>
      <c r="M15" s="43">
        <v>246.14</v>
      </c>
      <c r="N15" s="43">
        <f t="shared" si="0"/>
        <v>1639.4899999999998</v>
      </c>
      <c r="O15" s="43">
        <f t="shared" si="1"/>
        <v>2000.1777999999997</v>
      </c>
      <c r="P15" s="43" t="e">
        <f t="shared" ca="1" si="2"/>
        <v>#VALUE!</v>
      </c>
      <c r="Q15" s="43" t="e">
        <f t="shared" ca="1" si="3"/>
        <v>#VALUE!</v>
      </c>
      <c r="R15" s="43" t="e">
        <f t="shared" ca="1" si="4"/>
        <v>#VALUE!</v>
      </c>
      <c r="S15" s="43" t="e">
        <f t="shared" ca="1" si="5"/>
        <v>#VALUE!</v>
      </c>
      <c r="T15" s="43" t="e">
        <f t="shared" ca="1" si="6"/>
        <v>#VALUE!</v>
      </c>
      <c r="U15" s="43" t="e">
        <f t="shared" ca="1" si="7"/>
        <v>#VALUE!</v>
      </c>
      <c r="V15" s="43" t="e">
        <f t="shared" ca="1" si="7"/>
        <v>#VALUE!</v>
      </c>
      <c r="W15" s="44" t="e">
        <f t="shared" ca="1" si="8"/>
        <v>#VALUE!</v>
      </c>
    </row>
    <row r="16" spans="1:23" ht="27.6">
      <c r="A16" s="45" t="s">
        <v>63</v>
      </c>
      <c r="B16" s="39" t="s">
        <v>548</v>
      </c>
      <c r="C16" s="39" t="s">
        <v>545</v>
      </c>
      <c r="D16" s="42"/>
      <c r="E16" s="42"/>
      <c r="F16" s="41"/>
      <c r="G16" s="42" t="s">
        <v>551</v>
      </c>
      <c r="H16" s="43">
        <v>441.06</v>
      </c>
      <c r="I16" s="43">
        <v>391.88</v>
      </c>
      <c r="J16" s="43">
        <v>358.62</v>
      </c>
      <c r="K16" s="43">
        <v>338.04</v>
      </c>
      <c r="L16" s="43">
        <v>328.19</v>
      </c>
      <c r="M16" s="43">
        <v>328.19</v>
      </c>
      <c r="N16" s="43">
        <f t="shared" si="0"/>
        <v>2185.98</v>
      </c>
      <c r="O16" s="43">
        <f t="shared" si="1"/>
        <v>2666.8955999999998</v>
      </c>
      <c r="P16" s="43" t="e">
        <f t="shared" ca="1" si="2"/>
        <v>#VALUE!</v>
      </c>
      <c r="Q16" s="43" t="e">
        <f t="shared" ca="1" si="3"/>
        <v>#VALUE!</v>
      </c>
      <c r="R16" s="43" t="e">
        <f t="shared" ca="1" si="4"/>
        <v>#VALUE!</v>
      </c>
      <c r="S16" s="43" t="e">
        <f t="shared" ca="1" si="5"/>
        <v>#VALUE!</v>
      </c>
      <c r="T16" s="43" t="e">
        <f t="shared" ca="1" si="6"/>
        <v>#VALUE!</v>
      </c>
      <c r="U16" s="43" t="e">
        <f t="shared" ca="1" si="7"/>
        <v>#VALUE!</v>
      </c>
      <c r="V16" s="43" t="e">
        <f t="shared" ca="1" si="7"/>
        <v>#VALUE!</v>
      </c>
      <c r="W16" s="44" t="e">
        <f t="shared" ca="1" si="8"/>
        <v>#VALUE!</v>
      </c>
    </row>
    <row r="17" spans="1:23" ht="27.6">
      <c r="A17" s="45" t="s">
        <v>64</v>
      </c>
      <c r="B17" s="39" t="s">
        <v>548</v>
      </c>
      <c r="C17" s="39" t="s">
        <v>545</v>
      </c>
      <c r="D17" s="42"/>
      <c r="E17" s="42"/>
      <c r="F17" s="41"/>
      <c r="G17" s="42" t="s">
        <v>551</v>
      </c>
      <c r="H17" s="43">
        <v>551.33000000000004</v>
      </c>
      <c r="I17" s="43">
        <v>489.85</v>
      </c>
      <c r="J17" s="43">
        <v>448.28</v>
      </c>
      <c r="K17" s="43">
        <v>422.55</v>
      </c>
      <c r="L17" s="43">
        <v>410.24</v>
      </c>
      <c r="M17" s="43">
        <v>410.24</v>
      </c>
      <c r="N17" s="43">
        <f t="shared" si="0"/>
        <v>2732.49</v>
      </c>
      <c r="O17" s="43">
        <f t="shared" si="1"/>
        <v>3333.6377999999995</v>
      </c>
      <c r="P17" s="43" t="e">
        <f t="shared" ca="1" si="2"/>
        <v>#VALUE!</v>
      </c>
      <c r="Q17" s="43" t="e">
        <f t="shared" ca="1" si="3"/>
        <v>#VALUE!</v>
      </c>
      <c r="R17" s="43" t="e">
        <f t="shared" ca="1" si="4"/>
        <v>#VALUE!</v>
      </c>
      <c r="S17" s="43" t="e">
        <f t="shared" ca="1" si="5"/>
        <v>#VALUE!</v>
      </c>
      <c r="T17" s="43" t="e">
        <f t="shared" ca="1" si="6"/>
        <v>#VALUE!</v>
      </c>
      <c r="U17" s="43" t="e">
        <f t="shared" ca="1" si="7"/>
        <v>#VALUE!</v>
      </c>
      <c r="V17" s="43" t="e">
        <f t="shared" ca="1" si="7"/>
        <v>#VALUE!</v>
      </c>
      <c r="W17" s="44" t="e">
        <f t="shared" ca="1" si="8"/>
        <v>#VALUE!</v>
      </c>
    </row>
    <row r="18" spans="1:23" ht="27.6">
      <c r="A18" s="45" t="s">
        <v>65</v>
      </c>
      <c r="B18" s="39" t="s">
        <v>548</v>
      </c>
      <c r="C18" s="39" t="s">
        <v>545</v>
      </c>
      <c r="D18" s="42"/>
      <c r="E18" s="42"/>
      <c r="F18" s="41"/>
      <c r="G18" s="42" t="s">
        <v>551</v>
      </c>
      <c r="H18" s="43">
        <v>661.59</v>
      </c>
      <c r="I18" s="43">
        <v>587.82000000000005</v>
      </c>
      <c r="J18" s="43">
        <v>537.94000000000005</v>
      </c>
      <c r="K18" s="43">
        <v>507.06</v>
      </c>
      <c r="L18" s="43">
        <v>492.29</v>
      </c>
      <c r="M18" s="43">
        <v>492.29</v>
      </c>
      <c r="N18" s="43">
        <f t="shared" si="0"/>
        <v>3278.9900000000002</v>
      </c>
      <c r="O18" s="43">
        <f t="shared" si="1"/>
        <v>4000.3678</v>
      </c>
      <c r="P18" s="43" t="e">
        <f t="shared" ca="1" si="2"/>
        <v>#VALUE!</v>
      </c>
      <c r="Q18" s="43" t="e">
        <f t="shared" ca="1" si="3"/>
        <v>#VALUE!</v>
      </c>
      <c r="R18" s="43" t="e">
        <f t="shared" ca="1" si="4"/>
        <v>#VALUE!</v>
      </c>
      <c r="S18" s="43" t="e">
        <f t="shared" ca="1" si="5"/>
        <v>#VALUE!</v>
      </c>
      <c r="T18" s="43" t="e">
        <f t="shared" ca="1" si="6"/>
        <v>#VALUE!</v>
      </c>
      <c r="U18" s="43" t="e">
        <f t="shared" ca="1" si="7"/>
        <v>#VALUE!</v>
      </c>
      <c r="V18" s="43" t="e">
        <f t="shared" ca="1" si="7"/>
        <v>#VALUE!</v>
      </c>
      <c r="W18" s="44" t="e">
        <f t="shared" ca="1" si="8"/>
        <v>#VALUE!</v>
      </c>
    </row>
    <row r="19" spans="1:23" ht="55.15">
      <c r="A19" s="45" t="s">
        <v>552</v>
      </c>
      <c r="B19" s="39" t="s">
        <v>553</v>
      </c>
      <c r="C19" s="39" t="s">
        <v>356</v>
      </c>
      <c r="D19" s="42"/>
      <c r="E19" s="42"/>
      <c r="F19" s="41"/>
      <c r="G19" s="42" t="s">
        <v>554</v>
      </c>
      <c r="H19" s="43">
        <v>60075.47</v>
      </c>
      <c r="I19" s="43">
        <v>60075.47</v>
      </c>
      <c r="J19" s="43">
        <v>60075.47</v>
      </c>
      <c r="K19" s="43">
        <v>60075.47</v>
      </c>
      <c r="L19" s="43">
        <v>60075.47</v>
      </c>
      <c r="M19" s="43">
        <v>60075.47</v>
      </c>
      <c r="N19" s="43">
        <f t="shared" si="0"/>
        <v>360452.81999999995</v>
      </c>
      <c r="O19" s="43">
        <f t="shared" si="1"/>
        <v>439752.4403999999</v>
      </c>
      <c r="P19" s="43" t="e">
        <f t="shared" ca="1" si="2"/>
        <v>#VALUE!</v>
      </c>
      <c r="Q19" s="43" t="e">
        <f t="shared" ca="1" si="3"/>
        <v>#VALUE!</v>
      </c>
      <c r="R19" s="43" t="e">
        <f t="shared" ca="1" si="4"/>
        <v>#VALUE!</v>
      </c>
      <c r="S19" s="43" t="e">
        <f t="shared" ca="1" si="5"/>
        <v>#VALUE!</v>
      </c>
      <c r="T19" s="43" t="e">
        <f t="shared" ca="1" si="6"/>
        <v>#VALUE!</v>
      </c>
      <c r="U19" s="43" t="e">
        <f t="shared" ca="1" si="7"/>
        <v>#VALUE!</v>
      </c>
      <c r="V19" s="43" t="e">
        <f t="shared" ca="1" si="7"/>
        <v>#VALUE!</v>
      </c>
      <c r="W19" s="44" t="e">
        <f t="shared" ca="1" si="8"/>
        <v>#VALUE!</v>
      </c>
    </row>
    <row r="20" spans="1:23" ht="27.6">
      <c r="A20" s="45" t="s">
        <v>555</v>
      </c>
      <c r="B20" s="45"/>
      <c r="C20" s="45"/>
      <c r="D20" s="45"/>
      <c r="E20" s="45"/>
      <c r="F20" s="45"/>
      <c r="G20" s="45"/>
      <c r="H20" s="43">
        <v>251</v>
      </c>
      <c r="I20" s="43">
        <v>251</v>
      </c>
      <c r="J20" s="43">
        <v>251</v>
      </c>
      <c r="K20" s="43">
        <v>251</v>
      </c>
      <c r="L20" s="43">
        <v>251</v>
      </c>
      <c r="M20" s="43">
        <v>251</v>
      </c>
      <c r="N20" s="43">
        <v>251</v>
      </c>
      <c r="O20" s="43">
        <v>251</v>
      </c>
      <c r="P20" s="45"/>
      <c r="Q20" s="43" t="e">
        <f t="shared" ca="1" si="3"/>
        <v>#VALUE!</v>
      </c>
      <c r="R20" s="29"/>
      <c r="S20" s="29"/>
      <c r="T20" s="29"/>
      <c r="U20" s="29"/>
      <c r="V20" s="29"/>
      <c r="W20" s="29"/>
    </row>
    <row r="21" spans="1:23">
      <c r="A21" s="45" t="s">
        <v>556</v>
      </c>
      <c r="B21" s="45"/>
      <c r="C21" s="45"/>
      <c r="D21" s="45"/>
      <c r="E21" s="45"/>
      <c r="F21" s="45"/>
      <c r="G21" s="45"/>
      <c r="H21" s="43">
        <v>532</v>
      </c>
      <c r="I21" s="43">
        <v>532</v>
      </c>
      <c r="J21" s="43">
        <v>532</v>
      </c>
      <c r="K21" s="43">
        <v>532</v>
      </c>
      <c r="L21" s="43">
        <v>532</v>
      </c>
      <c r="M21" s="43">
        <v>532</v>
      </c>
      <c r="N21" s="43">
        <v>532</v>
      </c>
      <c r="O21" s="43">
        <v>532</v>
      </c>
      <c r="P21" s="45"/>
      <c r="Q21" s="45"/>
      <c r="R21" s="45"/>
      <c r="S21" s="45"/>
      <c r="T21" s="45"/>
      <c r="U21" s="45"/>
      <c r="V21" s="45"/>
      <c r="W21" s="45"/>
    </row>
    <row r="22" spans="1:23">
      <c r="A22" s="45" t="s">
        <v>557</v>
      </c>
      <c r="B22" s="45">
        <v>2</v>
      </c>
      <c r="C22" s="45"/>
      <c r="D22" s="45"/>
      <c r="E22" s="45"/>
      <c r="F22" s="45"/>
      <c r="G22" s="45"/>
      <c r="H22" s="43">
        <v>29164</v>
      </c>
      <c r="I22" s="43">
        <v>29164</v>
      </c>
      <c r="J22" s="43">
        <v>28608.49</v>
      </c>
      <c r="K22" s="43">
        <v>28608.49</v>
      </c>
      <c r="L22" s="43">
        <v>28608.49</v>
      </c>
      <c r="M22" s="43">
        <v>28608.49</v>
      </c>
      <c r="N22" s="45"/>
      <c r="O22" s="45"/>
      <c r="P22" s="95"/>
      <c r="Q22" s="95"/>
      <c r="R22" s="95"/>
      <c r="S22" s="95"/>
      <c r="T22" s="95"/>
      <c r="U22" s="95"/>
      <c r="V22" s="95"/>
      <c r="W22" s="95"/>
    </row>
    <row r="23" spans="1:23">
      <c r="A23" s="45" t="s">
        <v>558</v>
      </c>
      <c r="B23" s="45">
        <v>30</v>
      </c>
      <c r="C23" s="45"/>
      <c r="D23" s="45"/>
      <c r="E23" s="45"/>
      <c r="F23" s="45"/>
      <c r="G23" s="45"/>
      <c r="H23" s="43">
        <v>32901.620000000003</v>
      </c>
      <c r="I23" s="43">
        <v>32901.620000000003</v>
      </c>
      <c r="J23" s="43">
        <v>32274.92</v>
      </c>
      <c r="K23" s="43">
        <v>32274.92</v>
      </c>
      <c r="L23" s="43">
        <v>32274.92</v>
      </c>
      <c r="M23" s="43">
        <v>32274.92</v>
      </c>
      <c r="N23" s="45"/>
      <c r="O23" s="45"/>
      <c r="P23" s="95"/>
      <c r="Q23" s="95"/>
      <c r="R23" s="95"/>
      <c r="S23" s="95"/>
      <c r="T23" s="95"/>
      <c r="U23" s="95"/>
      <c r="V23" s="95"/>
      <c r="W23" s="95"/>
    </row>
    <row r="24" spans="1:23">
      <c r="A24" s="60"/>
      <c r="B24" s="61"/>
      <c r="C24" s="62"/>
      <c r="D24" s="60"/>
      <c r="E24" s="60"/>
      <c r="F24" s="63"/>
      <c r="G24" s="60"/>
      <c r="H24" s="64"/>
      <c r="I24" s="64"/>
      <c r="J24" s="64"/>
      <c r="K24" s="64"/>
      <c r="L24" s="64"/>
      <c r="M24" s="64"/>
    </row>
    <row r="25" spans="1:23">
      <c r="A25" s="65" t="s">
        <v>559</v>
      </c>
      <c r="B25" s="61"/>
      <c r="C25" s="62"/>
      <c r="D25" s="60"/>
      <c r="E25" s="60"/>
      <c r="F25" s="63"/>
      <c r="G25" s="60"/>
      <c r="H25" s="64"/>
      <c r="I25" s="64"/>
      <c r="J25" s="64"/>
      <c r="K25" s="64"/>
      <c r="L25" s="64"/>
      <c r="M25" s="64"/>
    </row>
    <row r="26" spans="1:23" ht="28.9">
      <c r="A26" s="66" t="s">
        <v>560</v>
      </c>
      <c r="B26" s="61"/>
      <c r="C26" s="62"/>
      <c r="D26" s="60"/>
      <c r="E26" s="60"/>
      <c r="F26" s="63"/>
      <c r="G26" s="60"/>
      <c r="H26" s="64"/>
      <c r="I26" s="64"/>
      <c r="J26" s="64"/>
      <c r="K26" s="64"/>
      <c r="L26" s="64"/>
      <c r="M26" s="64"/>
    </row>
    <row r="27" spans="1:23" ht="115.15">
      <c r="A27" s="66" t="s">
        <v>561</v>
      </c>
    </row>
    <row r="28" spans="1:23" ht="57.6">
      <c r="A28" s="66" t="s">
        <v>562</v>
      </c>
    </row>
    <row r="31" spans="1:23">
      <c r="A31" s="67" t="s">
        <v>563</v>
      </c>
      <c r="B31" t="e">
        <f ca="1">YEAR("31/7/2031")-YEAR(TODAY())</f>
        <v>#VALUE!</v>
      </c>
    </row>
    <row r="32" spans="1:23">
      <c r="A32" s="67" t="s">
        <v>564</v>
      </c>
      <c r="B32" t="e">
        <f ca="1">B31-1</f>
        <v>#VALUE!</v>
      </c>
    </row>
  </sheetData>
  <mergeCells count="23">
    <mergeCell ref="W1:W3"/>
    <mergeCell ref="D2:D3"/>
    <mergeCell ref="E2:E3"/>
    <mergeCell ref="Q1:Q3"/>
    <mergeCell ref="R1:R3"/>
    <mergeCell ref="S1:S3"/>
    <mergeCell ref="T1:T3"/>
    <mergeCell ref="U1:U3"/>
    <mergeCell ref="V1:V3"/>
    <mergeCell ref="N1:N3"/>
    <mergeCell ref="O1:O3"/>
    <mergeCell ref="P1:P3"/>
    <mergeCell ref="I1:I3"/>
    <mergeCell ref="J1:J3"/>
    <mergeCell ref="K1:K3"/>
    <mergeCell ref="L1:L3"/>
    <mergeCell ref="M1:M3"/>
    <mergeCell ref="H1:H3"/>
    <mergeCell ref="A1:A3"/>
    <mergeCell ref="B1:B3"/>
    <mergeCell ref="C1:C3"/>
    <mergeCell ref="D1:F1"/>
    <mergeCell ref="G1:G3"/>
  </mergeCells>
  <pageMargins left="0.7" right="0.7" top="0.75" bottom="0.75" header="0.3" footer="0.3"/>
  <pageSetup paperSize="9" orientation="portrait" verticalDpi="0" r:id="rId1"/>
  <headerFooter>
    <oddFooter>&amp;C_x000D_&amp;1#&amp;"Aptos"&amp;10&amp;K3CB371 Crédit Agricole Italia - Pubblico</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topLeftCell="A5" zoomScale="70" zoomScaleNormal="70" workbookViewId="0">
      <selection activeCell="A2" sqref="A2:H2"/>
    </sheetView>
  </sheetViews>
  <sheetFormatPr defaultRowHeight="14.45"/>
  <cols>
    <col min="1" max="1" width="21" bestFit="1" customWidth="1"/>
    <col min="2" max="2" width="34.28515625" customWidth="1"/>
    <col min="3" max="3" width="29.85546875" customWidth="1"/>
    <col min="4" max="4" width="21.85546875" customWidth="1"/>
    <col min="5" max="5" width="16.7109375" customWidth="1"/>
    <col min="6" max="6" width="14" customWidth="1"/>
    <col min="7" max="7" width="13.28515625" customWidth="1"/>
    <col min="8" max="8" width="15.28515625" customWidth="1"/>
    <col min="9" max="9" width="17" customWidth="1"/>
  </cols>
  <sheetData>
    <row r="1" spans="1:8" ht="15" thickBot="1">
      <c r="A1" s="321" t="s">
        <v>245</v>
      </c>
      <c r="B1" s="322" t="s">
        <v>565</v>
      </c>
      <c r="C1" s="323" t="s">
        <v>566</v>
      </c>
      <c r="D1" s="322" t="s">
        <v>567</v>
      </c>
      <c r="E1" s="322" t="s">
        <v>568</v>
      </c>
      <c r="F1" s="322" t="s">
        <v>569</v>
      </c>
      <c r="G1" s="323" t="s">
        <v>570</v>
      </c>
      <c r="H1" s="323" t="s">
        <v>571</v>
      </c>
    </row>
    <row r="2" spans="1:8" ht="15" thickBot="1">
      <c r="A2" s="324" t="s">
        <v>572</v>
      </c>
      <c r="B2" s="325" t="s">
        <v>573</v>
      </c>
      <c r="C2" s="325" t="s">
        <v>574</v>
      </c>
      <c r="D2" s="325" t="s">
        <v>575</v>
      </c>
      <c r="E2" s="325" t="s">
        <v>576</v>
      </c>
      <c r="F2" s="325" t="s">
        <v>577</v>
      </c>
      <c r="G2" s="326" t="s">
        <v>578</v>
      </c>
      <c r="H2" s="331">
        <v>3233.04</v>
      </c>
    </row>
    <row r="3" spans="1:8" ht="15" thickBot="1">
      <c r="A3" s="324" t="s">
        <v>572</v>
      </c>
      <c r="B3" s="325" t="s">
        <v>579</v>
      </c>
      <c r="C3" s="325" t="s">
        <v>579</v>
      </c>
      <c r="D3" s="325" t="s">
        <v>575</v>
      </c>
      <c r="E3" s="325" t="s">
        <v>576</v>
      </c>
      <c r="F3" s="325" t="s">
        <v>577</v>
      </c>
      <c r="G3" s="326" t="s">
        <v>578</v>
      </c>
      <c r="H3" s="331">
        <v>206.25</v>
      </c>
    </row>
    <row r="4" spans="1:8" ht="15" thickBot="1">
      <c r="A4" s="327" t="s">
        <v>572</v>
      </c>
      <c r="B4" s="328" t="s">
        <v>580</v>
      </c>
      <c r="C4" s="328" t="s">
        <v>580</v>
      </c>
      <c r="D4" s="328" t="s">
        <v>575</v>
      </c>
      <c r="E4" s="328" t="s">
        <v>576</v>
      </c>
      <c r="F4" s="328" t="s">
        <v>577</v>
      </c>
      <c r="G4" s="329" t="s">
        <v>578</v>
      </c>
      <c r="H4" s="331">
        <v>93.75</v>
      </c>
    </row>
    <row r="5" spans="1:8" ht="15" thickBot="1">
      <c r="A5" s="327" t="s">
        <v>581</v>
      </c>
      <c r="B5" s="328" t="s">
        <v>582</v>
      </c>
      <c r="C5" s="328" t="s">
        <v>159</v>
      </c>
      <c r="D5" s="328" t="s">
        <v>583</v>
      </c>
      <c r="E5" s="328" t="s">
        <v>584</v>
      </c>
      <c r="F5" s="328" t="s">
        <v>585</v>
      </c>
      <c r="G5" s="329" t="s">
        <v>578</v>
      </c>
      <c r="H5" s="331">
        <v>568.75</v>
      </c>
    </row>
    <row r="6" spans="1:8" ht="15" thickBot="1">
      <c r="A6" s="327" t="s">
        <v>189</v>
      </c>
      <c r="B6" s="328" t="s">
        <v>586</v>
      </c>
      <c r="C6" s="328" t="s">
        <v>161</v>
      </c>
      <c r="D6" s="328" t="s">
        <v>587</v>
      </c>
      <c r="E6" s="328" t="s">
        <v>588</v>
      </c>
      <c r="F6" s="328" t="s">
        <v>589</v>
      </c>
      <c r="G6" s="329" t="s">
        <v>578</v>
      </c>
      <c r="H6" s="331">
        <v>0</v>
      </c>
    </row>
    <row r="7" spans="1:8" ht="15" thickBot="1">
      <c r="A7" s="327" t="s">
        <v>189</v>
      </c>
      <c r="B7" s="328" t="s">
        <v>590</v>
      </c>
      <c r="C7" s="328" t="s">
        <v>163</v>
      </c>
      <c r="D7" s="328" t="s">
        <v>591</v>
      </c>
      <c r="E7" s="328" t="s">
        <v>592</v>
      </c>
      <c r="F7" s="328" t="s">
        <v>590</v>
      </c>
      <c r="G7" s="329" t="s">
        <v>578</v>
      </c>
      <c r="H7" s="331">
        <v>0</v>
      </c>
    </row>
    <row r="8" spans="1:8" ht="15" thickBot="1">
      <c r="A8" s="327" t="s">
        <v>453</v>
      </c>
      <c r="B8" s="328" t="s">
        <v>593</v>
      </c>
      <c r="C8" s="328" t="s">
        <v>165</v>
      </c>
      <c r="D8" s="328" t="s">
        <v>594</v>
      </c>
      <c r="E8" s="328" t="s">
        <v>595</v>
      </c>
      <c r="F8" s="328" t="s">
        <v>596</v>
      </c>
      <c r="G8" s="329" t="s">
        <v>578</v>
      </c>
      <c r="H8" s="331">
        <v>537.5</v>
      </c>
    </row>
    <row r="9" spans="1:8" ht="29.45" thickBot="1">
      <c r="A9" s="327" t="s">
        <v>453</v>
      </c>
      <c r="B9" s="328" t="s">
        <v>597</v>
      </c>
      <c r="C9" s="328" t="s">
        <v>167</v>
      </c>
      <c r="D9" s="328" t="s">
        <v>598</v>
      </c>
      <c r="E9" s="328" t="s">
        <v>599</v>
      </c>
      <c r="F9" s="328" t="s">
        <v>600</v>
      </c>
      <c r="G9" s="329" t="s">
        <v>578</v>
      </c>
      <c r="H9" s="331">
        <v>537.5</v>
      </c>
    </row>
    <row r="10" spans="1:8" ht="15" thickBot="1">
      <c r="A10" s="327" t="s">
        <v>453</v>
      </c>
      <c r="B10" s="328" t="s">
        <v>601</v>
      </c>
      <c r="C10" s="328" t="s">
        <v>165</v>
      </c>
      <c r="D10" s="328" t="s">
        <v>581</v>
      </c>
      <c r="E10" s="328" t="s">
        <v>581</v>
      </c>
      <c r="F10" s="328" t="s">
        <v>581</v>
      </c>
      <c r="G10" s="329" t="s">
        <v>578</v>
      </c>
      <c r="H10" s="331">
        <v>625</v>
      </c>
    </row>
    <row r="11" spans="1:8" ht="15" thickBot="1">
      <c r="A11" s="327" t="s">
        <v>453</v>
      </c>
      <c r="B11" s="328" t="s">
        <v>602</v>
      </c>
      <c r="C11" s="328" t="s">
        <v>165</v>
      </c>
      <c r="D11" s="328" t="s">
        <v>603</v>
      </c>
      <c r="E11" s="328" t="s">
        <v>604</v>
      </c>
      <c r="F11" s="328" t="s">
        <v>605</v>
      </c>
      <c r="G11" s="329" t="s">
        <v>578</v>
      </c>
      <c r="H11" s="331">
        <v>537.5</v>
      </c>
    </row>
    <row r="12" spans="1:8" ht="15" thickBot="1">
      <c r="A12" s="327" t="s">
        <v>453</v>
      </c>
      <c r="B12" s="328" t="s">
        <v>606</v>
      </c>
      <c r="C12" s="328" t="s">
        <v>165</v>
      </c>
      <c r="D12" s="328" t="s">
        <v>581</v>
      </c>
      <c r="E12" s="328" t="s">
        <v>581</v>
      </c>
      <c r="F12" s="328" t="s">
        <v>581</v>
      </c>
      <c r="G12" s="329" t="s">
        <v>578</v>
      </c>
      <c r="H12" s="331">
        <v>624.41999999999996</v>
      </c>
    </row>
    <row r="13" spans="1:8" ht="29.45" thickBot="1">
      <c r="A13" s="327" t="s">
        <v>453</v>
      </c>
      <c r="B13" s="328" t="s">
        <v>607</v>
      </c>
      <c r="C13" s="328" t="s">
        <v>165</v>
      </c>
      <c r="D13" s="328" t="s">
        <v>598</v>
      </c>
      <c r="E13" s="328" t="s">
        <v>599</v>
      </c>
      <c r="F13" s="328" t="s">
        <v>608</v>
      </c>
      <c r="G13" s="329" t="s">
        <v>578</v>
      </c>
      <c r="H13" s="331">
        <v>537.5</v>
      </c>
    </row>
    <row r="14" spans="1:8" ht="72.599999999999994" thickBot="1">
      <c r="A14" s="327" t="s">
        <v>176</v>
      </c>
      <c r="B14" s="328" t="s">
        <v>609</v>
      </c>
      <c r="C14" s="328" t="s">
        <v>177</v>
      </c>
      <c r="D14" s="328" t="s">
        <v>610</v>
      </c>
      <c r="E14" s="328" t="s">
        <v>611</v>
      </c>
      <c r="F14" s="328" t="s">
        <v>612</v>
      </c>
      <c r="G14" s="329" t="s">
        <v>578</v>
      </c>
      <c r="H14" s="331">
        <v>200</v>
      </c>
    </row>
    <row r="15" spans="1:8" ht="29.45" thickBot="1">
      <c r="A15" s="327" t="s">
        <v>613</v>
      </c>
      <c r="B15" s="328" t="s">
        <v>614</v>
      </c>
      <c r="C15" s="328" t="s">
        <v>179</v>
      </c>
      <c r="D15" s="328" t="s">
        <v>615</v>
      </c>
      <c r="E15" s="328" t="s">
        <v>615</v>
      </c>
      <c r="F15" s="328" t="s">
        <v>615</v>
      </c>
      <c r="G15" s="329" t="s">
        <v>578</v>
      </c>
      <c r="H15" s="331">
        <v>13216.75</v>
      </c>
    </row>
    <row r="16" spans="1:8" ht="15" thickBot="1">
      <c r="A16" s="327" t="s">
        <v>180</v>
      </c>
      <c r="B16" s="328" t="s">
        <v>614</v>
      </c>
      <c r="C16" s="328" t="s">
        <v>179</v>
      </c>
      <c r="D16" s="328" t="s">
        <v>616</v>
      </c>
      <c r="E16" s="328" t="s">
        <v>616</v>
      </c>
      <c r="F16" s="328" t="s">
        <v>616</v>
      </c>
      <c r="G16" s="329" t="s">
        <v>578</v>
      </c>
      <c r="H16" s="331">
        <v>8437.5</v>
      </c>
    </row>
    <row r="17" spans="1:9" ht="15" thickBot="1">
      <c r="A17" s="327" t="s">
        <v>181</v>
      </c>
      <c r="B17" s="328" t="s">
        <v>617</v>
      </c>
      <c r="C17" s="328" t="s">
        <v>618</v>
      </c>
      <c r="D17" s="328" t="s">
        <v>619</v>
      </c>
      <c r="E17" s="328" t="s">
        <v>619</v>
      </c>
      <c r="F17" s="328" t="s">
        <v>619</v>
      </c>
      <c r="G17" s="329" t="s">
        <v>578</v>
      </c>
      <c r="H17" s="331">
        <v>2855.25</v>
      </c>
    </row>
    <row r="18" spans="1:9" ht="72.599999999999994" thickBot="1">
      <c r="A18" s="327" t="s">
        <v>183</v>
      </c>
      <c r="B18" s="328" t="s">
        <v>620</v>
      </c>
      <c r="C18" s="328" t="s">
        <v>184</v>
      </c>
      <c r="D18" s="328" t="s">
        <v>621</v>
      </c>
      <c r="E18" s="328" t="s">
        <v>621</v>
      </c>
      <c r="F18" s="328" t="s">
        <v>621</v>
      </c>
      <c r="G18" s="329" t="s">
        <v>578</v>
      </c>
      <c r="H18" s="331">
        <v>1231.25</v>
      </c>
    </row>
    <row r="19" spans="1:9" ht="15" thickBot="1">
      <c r="A19" s="327" t="s">
        <v>185</v>
      </c>
      <c r="B19" s="328" t="s">
        <v>622</v>
      </c>
      <c r="C19" s="328" t="s">
        <v>184</v>
      </c>
      <c r="D19" s="328" t="s">
        <v>623</v>
      </c>
      <c r="E19" s="328" t="s">
        <v>624</v>
      </c>
      <c r="F19" s="328" t="s">
        <v>625</v>
      </c>
      <c r="G19" s="329" t="s">
        <v>578</v>
      </c>
      <c r="H19" s="331">
        <v>0</v>
      </c>
    </row>
    <row r="20" spans="1:9" ht="29.45" thickBot="1">
      <c r="A20" s="327" t="s">
        <v>186</v>
      </c>
      <c r="B20" s="328" t="s">
        <v>626</v>
      </c>
      <c r="C20" s="328" t="s">
        <v>187</v>
      </c>
      <c r="D20" s="328" t="s">
        <v>627</v>
      </c>
      <c r="E20" s="328" t="s">
        <v>628</v>
      </c>
      <c r="F20" s="328" t="s">
        <v>629</v>
      </c>
      <c r="G20" s="329" t="s">
        <v>578</v>
      </c>
      <c r="H20" s="331">
        <v>8100</v>
      </c>
    </row>
    <row r="21" spans="1:9" ht="43.9" thickBot="1">
      <c r="A21" s="327" t="s">
        <v>453</v>
      </c>
      <c r="B21" s="328" t="s">
        <v>630</v>
      </c>
      <c r="C21" s="328" t="s">
        <v>165</v>
      </c>
      <c r="D21" s="328" t="s">
        <v>631</v>
      </c>
      <c r="E21" s="328" t="s">
        <v>632</v>
      </c>
      <c r="F21" s="328" t="s">
        <v>633</v>
      </c>
      <c r="G21" s="329" t="s">
        <v>578</v>
      </c>
      <c r="H21" s="331">
        <v>0</v>
      </c>
      <c r="I21" s="333" t="s">
        <v>634</v>
      </c>
    </row>
    <row r="22" spans="1:9" ht="43.9" thickBot="1">
      <c r="A22" s="327" t="s">
        <v>189</v>
      </c>
      <c r="B22" s="328" t="s">
        <v>190</v>
      </c>
      <c r="C22" s="328" t="s">
        <v>635</v>
      </c>
      <c r="D22" s="328" t="s">
        <v>636</v>
      </c>
      <c r="E22" s="328" t="s">
        <v>637</v>
      </c>
      <c r="F22" s="328" t="s">
        <v>638</v>
      </c>
      <c r="G22" s="329" t="s">
        <v>578</v>
      </c>
      <c r="H22" s="331">
        <v>0</v>
      </c>
      <c r="I22" s="333" t="s">
        <v>634</v>
      </c>
    </row>
  </sheetData>
  <pageMargins left="0.7" right="0.7" top="0.75" bottom="0.75" header="0.3" footer="0.3"/>
  <headerFooter>
    <oddFooter>&amp;C_x000D_&amp;1#&amp;"Aptos"&amp;10&amp;K3CB371 Crédit Agricole Italia - Pubblico</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workbookViewId="0">
      <selection activeCell="H14" sqref="H14"/>
    </sheetView>
  </sheetViews>
  <sheetFormatPr defaultColWidth="9.140625" defaultRowHeight="14.45"/>
  <cols>
    <col min="1" max="1" width="40.140625" customWidth="1"/>
    <col min="2" max="2" width="15.85546875" bestFit="1" customWidth="1"/>
    <col min="3" max="3" width="12.140625" bestFit="1" customWidth="1"/>
    <col min="4" max="4" width="5.85546875" bestFit="1" customWidth="1"/>
    <col min="5" max="5" width="5.5703125" bestFit="1" customWidth="1"/>
    <col min="6" max="6" width="5" style="46" bestFit="1" customWidth="1"/>
    <col min="7" max="7" width="30.42578125" bestFit="1" customWidth="1"/>
    <col min="8" max="12" width="12.28515625" customWidth="1"/>
    <col min="13" max="16" width="12.28515625" bestFit="1" customWidth="1"/>
    <col min="17" max="17" width="12.85546875" customWidth="1"/>
    <col min="18" max="18" width="10.28515625" bestFit="1" customWidth="1"/>
    <col min="19" max="19" width="11.28515625" bestFit="1" customWidth="1"/>
    <col min="20" max="20" width="8" bestFit="1" customWidth="1"/>
  </cols>
  <sheetData>
    <row r="1" spans="1:20">
      <c r="A1" s="416" t="s">
        <v>21</v>
      </c>
      <c r="B1" s="417" t="s">
        <v>516</v>
      </c>
      <c r="C1" s="417" t="s">
        <v>517</v>
      </c>
      <c r="D1" s="416" t="s">
        <v>23</v>
      </c>
      <c r="E1" s="416"/>
      <c r="F1" s="416"/>
      <c r="G1" s="417" t="s">
        <v>24</v>
      </c>
      <c r="H1" s="415" t="s">
        <v>639</v>
      </c>
      <c r="I1" s="420" t="s">
        <v>640</v>
      </c>
      <c r="J1" s="415" t="s">
        <v>641</v>
      </c>
      <c r="K1" s="415" t="s">
        <v>642</v>
      </c>
      <c r="L1" s="415" t="s">
        <v>643</v>
      </c>
      <c r="M1" s="415" t="s">
        <v>523</v>
      </c>
      <c r="N1" s="415" t="s">
        <v>644</v>
      </c>
      <c r="O1" s="415" t="s">
        <v>645</v>
      </c>
      <c r="P1" s="415" t="s">
        <v>646</v>
      </c>
      <c r="Q1" s="415" t="s">
        <v>647</v>
      </c>
      <c r="R1" s="416" t="s">
        <v>31</v>
      </c>
      <c r="S1" s="416" t="s">
        <v>524</v>
      </c>
    </row>
    <row r="2" spans="1:20">
      <c r="A2" s="416"/>
      <c r="B2" s="417"/>
      <c r="C2" s="417"/>
      <c r="D2" s="416" t="s">
        <v>533</v>
      </c>
      <c r="E2" s="416" t="s">
        <v>35</v>
      </c>
      <c r="F2" s="38" t="s">
        <v>534</v>
      </c>
      <c r="G2" s="417"/>
      <c r="H2" s="415"/>
      <c r="I2" s="421"/>
      <c r="J2" s="415"/>
      <c r="K2" s="415"/>
      <c r="L2" s="415"/>
      <c r="M2" s="415"/>
      <c r="N2" s="415"/>
      <c r="O2" s="415"/>
      <c r="P2" s="415"/>
      <c r="Q2" s="415"/>
      <c r="R2" s="416"/>
      <c r="S2" s="416"/>
    </row>
    <row r="3" spans="1:20">
      <c r="A3" s="416"/>
      <c r="B3" s="417"/>
      <c r="C3" s="417"/>
      <c r="D3" s="416"/>
      <c r="E3" s="416"/>
      <c r="F3" s="38" t="s">
        <v>40</v>
      </c>
      <c r="G3" s="417"/>
      <c r="H3" s="415"/>
      <c r="I3" s="422"/>
      <c r="J3" s="415"/>
      <c r="K3" s="415"/>
      <c r="L3" s="415"/>
      <c r="M3" s="415"/>
      <c r="N3" s="415"/>
      <c r="O3" s="415"/>
      <c r="P3" s="415"/>
      <c r="Q3" s="415"/>
      <c r="R3" s="416"/>
      <c r="S3" s="416"/>
    </row>
    <row r="4" spans="1:20" ht="27.6">
      <c r="A4" s="45" t="s">
        <v>648</v>
      </c>
      <c r="B4" s="39" t="s">
        <v>553</v>
      </c>
      <c r="C4" s="39" t="s">
        <v>537</v>
      </c>
      <c r="D4" s="40">
        <v>32</v>
      </c>
      <c r="E4" s="40">
        <v>512</v>
      </c>
      <c r="F4" s="41"/>
      <c r="G4" s="42" t="s">
        <v>649</v>
      </c>
      <c r="H4" s="43">
        <v>-424.42</v>
      </c>
      <c r="I4" s="43">
        <v>-387.94</v>
      </c>
      <c r="J4" s="43">
        <v>-363.27</v>
      </c>
      <c r="K4" s="43">
        <v>-348</v>
      </c>
      <c r="L4" s="43">
        <v>-340.7</v>
      </c>
      <c r="M4" s="43">
        <v>-340.7</v>
      </c>
      <c r="N4" s="43">
        <v>-333.4</v>
      </c>
      <c r="O4" s="43">
        <v>-319.44</v>
      </c>
      <c r="P4" s="43">
        <v>-300.04000000000002</v>
      </c>
      <c r="Q4" s="43">
        <v>-276.77999999999997</v>
      </c>
      <c r="R4" s="43">
        <f>SUM(H4:Q4)</f>
        <v>-3434.6900000000005</v>
      </c>
      <c r="S4" s="43">
        <f>R4*1.22</f>
        <v>-4190.3218000000006</v>
      </c>
    </row>
    <row r="5" spans="1:20">
      <c r="A5" s="45" t="s">
        <v>535</v>
      </c>
      <c r="B5" s="39" t="s">
        <v>536</v>
      </c>
      <c r="C5" s="39" t="s">
        <v>537</v>
      </c>
      <c r="D5" s="40">
        <v>4</v>
      </c>
      <c r="E5" s="40">
        <v>16</v>
      </c>
      <c r="F5" s="41"/>
      <c r="G5" s="42" t="s">
        <v>538</v>
      </c>
      <c r="H5" s="43">
        <v>-513.58000000000004</v>
      </c>
      <c r="I5" s="43">
        <v>-487.07</v>
      </c>
      <c r="J5" s="43">
        <v>-456.98</v>
      </c>
      <c r="K5" s="43">
        <v>-438.35</v>
      </c>
      <c r="L5" s="43">
        <v>-429.44</v>
      </c>
      <c r="M5" s="43">
        <v>-429.44</v>
      </c>
      <c r="N5" s="43">
        <v>-420.53</v>
      </c>
      <c r="O5" s="43">
        <v>-403.5</v>
      </c>
      <c r="P5" s="43">
        <v>-379.83</v>
      </c>
      <c r="Q5" s="43">
        <v>-351.45</v>
      </c>
      <c r="R5" s="43">
        <f t="shared" ref="R5:R20" si="0">SUM(H5:Q5)</f>
        <v>-4310.17</v>
      </c>
      <c r="S5" s="43">
        <f t="shared" ref="S5:S20" si="1">R5*1.22</f>
        <v>-5258.4074000000001</v>
      </c>
      <c r="T5" s="100">
        <f>H5+ACN!H4</f>
        <v>170.46999999999991</v>
      </c>
    </row>
    <row r="6" spans="1:20">
      <c r="A6" s="45" t="s">
        <v>539</v>
      </c>
      <c r="B6" s="39" t="s">
        <v>536</v>
      </c>
      <c r="C6" s="39" t="s">
        <v>537</v>
      </c>
      <c r="D6" s="40">
        <v>8</v>
      </c>
      <c r="E6" s="40">
        <v>32</v>
      </c>
      <c r="F6" s="41"/>
      <c r="G6" s="42" t="s">
        <v>538</v>
      </c>
      <c r="H6" s="43">
        <v>-568.34</v>
      </c>
      <c r="I6" s="43">
        <v>-613.83000000000004</v>
      </c>
      <c r="J6" s="43">
        <v>-583.74</v>
      </c>
      <c r="K6" s="43">
        <v>-565.11</v>
      </c>
      <c r="L6" s="43">
        <v>-556.20000000000005</v>
      </c>
      <c r="M6" s="43">
        <v>-556.20000000000005</v>
      </c>
      <c r="N6" s="43">
        <v>-547.29</v>
      </c>
      <c r="O6" s="43">
        <v>-530.26</v>
      </c>
      <c r="P6" s="43">
        <v>-506.59</v>
      </c>
      <c r="Q6" s="43">
        <v>-478.21</v>
      </c>
      <c r="R6" s="43">
        <f t="shared" si="0"/>
        <v>-5505.77</v>
      </c>
      <c r="S6" s="43">
        <f t="shared" si="1"/>
        <v>-6717.0394000000006</v>
      </c>
      <c r="T6" s="100">
        <f>H6+ACN!H5</f>
        <v>293.74</v>
      </c>
    </row>
    <row r="7" spans="1:20">
      <c r="A7" s="45" t="s">
        <v>47</v>
      </c>
      <c r="B7" s="39" t="s">
        <v>540</v>
      </c>
      <c r="C7" s="39" t="s">
        <v>537</v>
      </c>
      <c r="D7" s="40"/>
      <c r="E7" s="40"/>
      <c r="F7" s="41">
        <v>1</v>
      </c>
      <c r="G7" s="42"/>
      <c r="H7" s="43">
        <v>-133.63999999999999</v>
      </c>
      <c r="I7" s="43">
        <v>-130.33000000000001</v>
      </c>
      <c r="J7" s="43">
        <v>-127.03</v>
      </c>
      <c r="K7" s="43">
        <v>-123.73</v>
      </c>
      <c r="L7" s="43">
        <v>-120.42</v>
      </c>
      <c r="M7" s="43">
        <v>-117.12</v>
      </c>
      <c r="N7" s="43">
        <v>-113.82</v>
      </c>
      <c r="O7" s="43">
        <v>-110.51</v>
      </c>
      <c r="P7" s="43">
        <v>-107.21</v>
      </c>
      <c r="Q7" s="43">
        <v>-103.91</v>
      </c>
      <c r="R7" s="43">
        <f t="shared" si="0"/>
        <v>-1187.72</v>
      </c>
      <c r="S7" s="43">
        <f t="shared" si="1"/>
        <v>-1449.0183999999999</v>
      </c>
      <c r="T7" s="100">
        <f>-H7</f>
        <v>133.63999999999999</v>
      </c>
    </row>
    <row r="8" spans="1:20">
      <c r="A8" s="45" t="s">
        <v>49</v>
      </c>
      <c r="B8" s="39" t="s">
        <v>540</v>
      </c>
      <c r="C8" s="39" t="s">
        <v>537</v>
      </c>
      <c r="D8" s="40"/>
      <c r="E8" s="40"/>
      <c r="F8" s="41" t="s">
        <v>50</v>
      </c>
      <c r="G8" s="42"/>
      <c r="H8" s="43">
        <v>-58.09</v>
      </c>
      <c r="I8" s="43">
        <v>-56.58</v>
      </c>
      <c r="J8" s="43">
        <v>-55.07</v>
      </c>
      <c r="K8" s="43">
        <v>-53.56</v>
      </c>
      <c r="L8" s="43">
        <v>-52.05</v>
      </c>
      <c r="M8" s="43">
        <v>-50.54</v>
      </c>
      <c r="N8" s="43">
        <v>-49.03</v>
      </c>
      <c r="O8" s="43">
        <v>-47.52</v>
      </c>
      <c r="P8" s="43">
        <v>-46.01</v>
      </c>
      <c r="Q8" s="43">
        <v>-44.5</v>
      </c>
      <c r="R8" s="43">
        <f t="shared" si="0"/>
        <v>-512.95000000000005</v>
      </c>
      <c r="S8" s="43">
        <f t="shared" si="1"/>
        <v>-625.79900000000009</v>
      </c>
      <c r="T8" s="100">
        <f>-H8</f>
        <v>58.09</v>
      </c>
    </row>
    <row r="9" spans="1:20">
      <c r="A9" s="45" t="s">
        <v>52</v>
      </c>
      <c r="B9" s="39" t="s">
        <v>540</v>
      </c>
      <c r="C9" s="39" t="s">
        <v>541</v>
      </c>
      <c r="D9" s="40"/>
      <c r="E9" s="40"/>
      <c r="F9" s="41">
        <v>1</v>
      </c>
      <c r="G9" s="42" t="s">
        <v>542</v>
      </c>
      <c r="H9" s="43">
        <v>-621.01</v>
      </c>
      <c r="I9" s="43">
        <v>-604.02</v>
      </c>
      <c r="J9" s="43">
        <v>-592.54</v>
      </c>
      <c r="K9" s="43">
        <v>-585.42999999999995</v>
      </c>
      <c r="L9" s="43">
        <v>-582.03</v>
      </c>
      <c r="M9" s="43">
        <v>-582.03</v>
      </c>
      <c r="N9" s="43">
        <v>-578.63</v>
      </c>
      <c r="O9" s="43">
        <v>-572.13</v>
      </c>
      <c r="P9" s="43">
        <v>-563.1</v>
      </c>
      <c r="Q9" s="43">
        <v>-552.27</v>
      </c>
      <c r="R9" s="43">
        <f t="shared" si="0"/>
        <v>-5833.1900000000005</v>
      </c>
      <c r="S9" s="43">
        <f t="shared" si="1"/>
        <v>-7116.4918000000007</v>
      </c>
      <c r="T9" s="100">
        <f>H9+ACN!H8</f>
        <v>247.34000000000003</v>
      </c>
    </row>
    <row r="10" spans="1:20">
      <c r="A10" s="45" t="s">
        <v>54</v>
      </c>
      <c r="B10" s="39" t="s">
        <v>540</v>
      </c>
      <c r="C10" s="39" t="s">
        <v>541</v>
      </c>
      <c r="D10" s="40"/>
      <c r="E10" s="40"/>
      <c r="F10" s="41">
        <v>1</v>
      </c>
      <c r="G10" s="42" t="s">
        <v>543</v>
      </c>
      <c r="H10" s="43">
        <v>-399.79</v>
      </c>
      <c r="I10" s="43">
        <v>-382.8</v>
      </c>
      <c r="J10" s="43">
        <v>-371.82</v>
      </c>
      <c r="K10" s="43">
        <v>-364.21</v>
      </c>
      <c r="L10" s="43">
        <v>-360.81</v>
      </c>
      <c r="M10" s="43">
        <v>-360.81</v>
      </c>
      <c r="N10" s="43">
        <v>-357.41</v>
      </c>
      <c r="O10" s="43">
        <v>-350.91</v>
      </c>
      <c r="P10" s="43">
        <v>-341.87</v>
      </c>
      <c r="Q10" s="43">
        <v>-331.04</v>
      </c>
      <c r="R10" s="43">
        <f t="shared" si="0"/>
        <v>-3621.47</v>
      </c>
      <c r="S10" s="43">
        <f t="shared" si="1"/>
        <v>-4418.1934000000001</v>
      </c>
    </row>
    <row r="11" spans="1:20">
      <c r="A11" s="45" t="s">
        <v>544</v>
      </c>
      <c r="B11" s="39" t="s">
        <v>540</v>
      </c>
      <c r="C11" s="39" t="s">
        <v>545</v>
      </c>
      <c r="D11" s="42"/>
      <c r="E11" s="42"/>
      <c r="F11" s="41">
        <v>1</v>
      </c>
      <c r="G11" s="42" t="s">
        <v>546</v>
      </c>
      <c r="H11" s="43">
        <v>-399.15</v>
      </c>
      <c r="I11" s="43">
        <v>0</v>
      </c>
      <c r="J11" s="43">
        <v>0</v>
      </c>
      <c r="K11" s="43">
        <v>0</v>
      </c>
      <c r="L11" s="43">
        <v>0</v>
      </c>
      <c r="M11" s="43">
        <v>0</v>
      </c>
      <c r="N11" s="43">
        <v>0</v>
      </c>
      <c r="O11" s="43">
        <v>0</v>
      </c>
      <c r="P11" s="43">
        <v>0</v>
      </c>
      <c r="Q11" s="43">
        <v>0</v>
      </c>
      <c r="R11" s="43">
        <f t="shared" si="0"/>
        <v>-399.15</v>
      </c>
      <c r="S11" s="43">
        <f t="shared" si="1"/>
        <v>-486.96299999999997</v>
      </c>
    </row>
    <row r="12" spans="1:20" ht="27.6">
      <c r="A12" s="45" t="s">
        <v>547</v>
      </c>
      <c r="B12" s="39" t="s">
        <v>548</v>
      </c>
      <c r="C12" s="39" t="s">
        <v>545</v>
      </c>
      <c r="D12" s="42"/>
      <c r="E12" s="42"/>
      <c r="F12" s="41"/>
      <c r="G12" s="42" t="s">
        <v>549</v>
      </c>
      <c r="H12" s="43">
        <v>-524.64</v>
      </c>
      <c r="I12" s="43">
        <v>-466.14</v>
      </c>
      <c r="J12" s="43">
        <v>-426.58</v>
      </c>
      <c r="K12" s="43">
        <v>-402.09</v>
      </c>
      <c r="L12" s="43">
        <v>-390.38</v>
      </c>
      <c r="M12" s="43">
        <v>-390.38</v>
      </c>
      <c r="N12" s="43">
        <v>-378.67</v>
      </c>
      <c r="O12" s="43">
        <v>-356.29</v>
      </c>
      <c r="P12" s="43">
        <v>-325.18</v>
      </c>
      <c r="Q12" s="43">
        <v>-287.88</v>
      </c>
      <c r="R12" s="43">
        <f t="shared" si="0"/>
        <v>-3948.23</v>
      </c>
      <c r="S12" s="43">
        <f t="shared" si="1"/>
        <v>-4816.8405999999995</v>
      </c>
    </row>
    <row r="13" spans="1:20" ht="27.6">
      <c r="A13" s="45" t="s">
        <v>550</v>
      </c>
      <c r="B13" s="39" t="s">
        <v>548</v>
      </c>
      <c r="C13" s="39" t="s">
        <v>545</v>
      </c>
      <c r="D13" s="42"/>
      <c r="E13" s="42"/>
      <c r="F13" s="41"/>
      <c r="G13" s="42" t="s">
        <v>549</v>
      </c>
      <c r="H13" s="43">
        <v>-393.48</v>
      </c>
      <c r="I13" s="43">
        <v>-349.6</v>
      </c>
      <c r="J13" s="43">
        <v>-319.94</v>
      </c>
      <c r="K13" s="43">
        <v>-301.57</v>
      </c>
      <c r="L13" s="43">
        <v>-292.79000000000002</v>
      </c>
      <c r="M13" s="43">
        <v>-292.79000000000002</v>
      </c>
      <c r="N13" s="43">
        <v>-284</v>
      </c>
      <c r="O13" s="43">
        <v>-267.22000000000003</v>
      </c>
      <c r="P13" s="43">
        <v>-243.88</v>
      </c>
      <c r="Q13" s="43">
        <v>-215.91</v>
      </c>
      <c r="R13" s="43">
        <f t="shared" si="0"/>
        <v>-2961.1800000000003</v>
      </c>
      <c r="S13" s="43">
        <f t="shared" si="1"/>
        <v>-3612.6396000000004</v>
      </c>
    </row>
    <row r="14" spans="1:20" ht="27.6">
      <c r="A14" s="45" t="s">
        <v>59</v>
      </c>
      <c r="B14" s="39" t="s">
        <v>548</v>
      </c>
      <c r="C14" s="39" t="s">
        <v>545</v>
      </c>
      <c r="D14" s="42"/>
      <c r="E14" s="42"/>
      <c r="F14" s="41"/>
      <c r="G14" s="42" t="s">
        <v>549</v>
      </c>
      <c r="H14" s="43">
        <v>-524.64</v>
      </c>
      <c r="I14" s="43">
        <v>-466.14</v>
      </c>
      <c r="J14" s="43">
        <v>-426.58</v>
      </c>
      <c r="K14" s="43">
        <v>-402.09</v>
      </c>
      <c r="L14" s="43">
        <v>-390.38</v>
      </c>
      <c r="M14" s="43">
        <v>-390.38</v>
      </c>
      <c r="N14" s="43">
        <v>-378.67</v>
      </c>
      <c r="O14" s="43">
        <v>-356.29</v>
      </c>
      <c r="P14" s="43">
        <v>-325.18</v>
      </c>
      <c r="Q14" s="43">
        <v>-287.88</v>
      </c>
      <c r="R14" s="43">
        <f t="shared" si="0"/>
        <v>-3948.23</v>
      </c>
      <c r="S14" s="43">
        <f t="shared" si="1"/>
        <v>-4816.8405999999995</v>
      </c>
    </row>
    <row r="15" spans="1:20" ht="27.6">
      <c r="A15" s="45" t="s">
        <v>60</v>
      </c>
      <c r="B15" s="39" t="s">
        <v>548</v>
      </c>
      <c r="C15" s="39" t="s">
        <v>545</v>
      </c>
      <c r="D15" s="42"/>
      <c r="E15" s="42"/>
      <c r="F15" s="41"/>
      <c r="G15" s="42" t="s">
        <v>549</v>
      </c>
      <c r="H15" s="43">
        <v>-524.64</v>
      </c>
      <c r="I15" s="43">
        <v>-466.14</v>
      </c>
      <c r="J15" s="43">
        <v>-426.58</v>
      </c>
      <c r="K15" s="43">
        <v>-402.09</v>
      </c>
      <c r="L15" s="43">
        <v>-390.38</v>
      </c>
      <c r="M15" s="43">
        <v>-390.38</v>
      </c>
      <c r="N15" s="43">
        <v>-378.67</v>
      </c>
      <c r="O15" s="43">
        <v>-356.29</v>
      </c>
      <c r="P15" s="43">
        <v>-325.18</v>
      </c>
      <c r="Q15" s="43">
        <v>-287.88</v>
      </c>
      <c r="R15" s="43">
        <f t="shared" si="0"/>
        <v>-3948.23</v>
      </c>
      <c r="S15" s="43">
        <f t="shared" si="1"/>
        <v>-4816.8405999999995</v>
      </c>
    </row>
    <row r="16" spans="1:20" ht="27.6">
      <c r="A16" s="45" t="s">
        <v>61</v>
      </c>
      <c r="B16" s="39" t="s">
        <v>548</v>
      </c>
      <c r="C16" s="39" t="s">
        <v>545</v>
      </c>
      <c r="D16" s="42"/>
      <c r="E16" s="42"/>
      <c r="F16" s="41"/>
      <c r="G16" s="42" t="s">
        <v>551</v>
      </c>
      <c r="H16" s="43">
        <v>-248.1</v>
      </c>
      <c r="I16" s="43">
        <v>-220.43</v>
      </c>
      <c r="J16" s="43">
        <v>-201.73</v>
      </c>
      <c r="K16" s="43">
        <v>-190.15</v>
      </c>
      <c r="L16" s="43">
        <v>-184.61</v>
      </c>
      <c r="M16" s="43">
        <v>-184.61</v>
      </c>
      <c r="N16" s="43">
        <v>-179.07</v>
      </c>
      <c r="O16" s="43">
        <v>-168.49</v>
      </c>
      <c r="P16" s="43">
        <v>-153.77000000000001</v>
      </c>
      <c r="Q16" s="43">
        <v>-136.13</v>
      </c>
      <c r="R16" s="43">
        <f t="shared" si="0"/>
        <v>-1867.0900000000001</v>
      </c>
      <c r="S16" s="43">
        <f t="shared" si="1"/>
        <v>-2277.8498</v>
      </c>
    </row>
    <row r="17" spans="1:19" ht="27.6">
      <c r="A17" s="45" t="s">
        <v>63</v>
      </c>
      <c r="B17" s="39" t="s">
        <v>548</v>
      </c>
      <c r="C17" s="39" t="s">
        <v>545</v>
      </c>
      <c r="D17" s="42"/>
      <c r="E17" s="42"/>
      <c r="F17" s="41"/>
      <c r="G17" s="42" t="s">
        <v>551</v>
      </c>
      <c r="H17" s="43">
        <v>-330.8</v>
      </c>
      <c r="I17" s="43">
        <v>-293.81</v>
      </c>
      <c r="J17" s="43">
        <v>-268.97000000000003</v>
      </c>
      <c r="K17" s="43">
        <v>-253.53</v>
      </c>
      <c r="L17" s="43">
        <v>-246.14</v>
      </c>
      <c r="M17" s="43">
        <v>-246.14</v>
      </c>
      <c r="N17" s="43">
        <v>-238.76</v>
      </c>
      <c r="O17" s="43">
        <v>-224.65</v>
      </c>
      <c r="P17" s="43">
        <v>-205.03</v>
      </c>
      <c r="Q17" s="43">
        <v>-181.51</v>
      </c>
      <c r="R17" s="43">
        <f t="shared" si="0"/>
        <v>-2489.34</v>
      </c>
      <c r="S17" s="43">
        <f t="shared" si="1"/>
        <v>-3036.9947999999999</v>
      </c>
    </row>
    <row r="18" spans="1:19" ht="27.6">
      <c r="A18" s="45" t="s">
        <v>64</v>
      </c>
      <c r="B18" s="39" t="s">
        <v>548</v>
      </c>
      <c r="C18" s="39" t="s">
        <v>545</v>
      </c>
      <c r="D18" s="42"/>
      <c r="E18" s="42"/>
      <c r="F18" s="41"/>
      <c r="G18" s="42" t="s">
        <v>551</v>
      </c>
      <c r="H18" s="43">
        <v>-413.5</v>
      </c>
      <c r="I18" s="43">
        <v>-367.39</v>
      </c>
      <c r="J18" s="43">
        <v>-336.21</v>
      </c>
      <c r="K18" s="43">
        <v>-316.91000000000003</v>
      </c>
      <c r="L18" s="43">
        <v>-307.68</v>
      </c>
      <c r="M18" s="43">
        <v>-307.68</v>
      </c>
      <c r="N18" s="43">
        <v>-298.45</v>
      </c>
      <c r="O18" s="43">
        <v>-280.81</v>
      </c>
      <c r="P18" s="43">
        <v>-256.29000000000002</v>
      </c>
      <c r="Q18" s="43">
        <v>-226.89</v>
      </c>
      <c r="R18" s="43">
        <f t="shared" si="0"/>
        <v>-3111.8099999999995</v>
      </c>
      <c r="S18" s="43">
        <f t="shared" si="1"/>
        <v>-3796.4081999999994</v>
      </c>
    </row>
    <row r="19" spans="1:19" ht="27.6">
      <c r="A19" s="45" t="s">
        <v>65</v>
      </c>
      <c r="B19" s="39" t="s">
        <v>548</v>
      </c>
      <c r="C19" s="39" t="s">
        <v>545</v>
      </c>
      <c r="D19" s="42"/>
      <c r="E19" s="42"/>
      <c r="F19" s="41"/>
      <c r="G19" s="42" t="s">
        <v>551</v>
      </c>
      <c r="H19" s="43">
        <v>-496.19</v>
      </c>
      <c r="I19" s="43">
        <v>-440.86</v>
      </c>
      <c r="J19" s="43">
        <v>-403.45</v>
      </c>
      <c r="K19" s="43">
        <v>-380.29</v>
      </c>
      <c r="L19" s="43">
        <v>-369.22</v>
      </c>
      <c r="M19" s="43">
        <v>-369.22</v>
      </c>
      <c r="N19" s="43">
        <v>-358.14</v>
      </c>
      <c r="O19" s="43">
        <v>-336.97</v>
      </c>
      <c r="P19" s="43">
        <v>-307.55</v>
      </c>
      <c r="Q19" s="43">
        <v>-272.27</v>
      </c>
      <c r="R19" s="43">
        <f t="shared" si="0"/>
        <v>-3734.1600000000003</v>
      </c>
      <c r="S19" s="43">
        <f t="shared" si="1"/>
        <v>-4555.6752000000006</v>
      </c>
    </row>
    <row r="20" spans="1:19" ht="55.15">
      <c r="A20" s="45" t="s">
        <v>552</v>
      </c>
      <c r="B20" s="39" t="s">
        <v>553</v>
      </c>
      <c r="C20" s="39" t="s">
        <v>356</v>
      </c>
      <c r="D20" s="42"/>
      <c r="E20" s="42"/>
      <c r="F20" s="41"/>
      <c r="G20" s="42" t="s">
        <v>554</v>
      </c>
      <c r="H20" s="43">
        <v>0</v>
      </c>
      <c r="I20" s="43">
        <v>0</v>
      </c>
      <c r="J20" s="43">
        <v>0</v>
      </c>
      <c r="K20" s="43">
        <v>0</v>
      </c>
      <c r="L20" s="43">
        <v>0</v>
      </c>
      <c r="M20" s="43">
        <v>0</v>
      </c>
      <c r="N20" s="43">
        <v>0</v>
      </c>
      <c r="O20" s="43">
        <v>0</v>
      </c>
      <c r="P20" s="43">
        <v>0</v>
      </c>
      <c r="Q20" s="43">
        <v>0</v>
      </c>
      <c r="R20" s="43">
        <f t="shared" si="0"/>
        <v>0</v>
      </c>
      <c r="S20" s="43">
        <f t="shared" si="1"/>
        <v>0</v>
      </c>
    </row>
    <row r="21" spans="1:19">
      <c r="A21" s="55"/>
      <c r="B21" s="56"/>
      <c r="C21" s="57"/>
      <c r="D21" s="55"/>
      <c r="E21" s="55"/>
      <c r="F21" s="58"/>
      <c r="G21" s="56"/>
      <c r="H21" s="59"/>
      <c r="I21" s="59"/>
      <c r="J21" s="59"/>
      <c r="K21" s="59"/>
      <c r="L21" s="59"/>
      <c r="M21" s="59"/>
      <c r="N21" s="59"/>
      <c r="O21" s="59"/>
      <c r="P21" s="59"/>
      <c r="Q21" s="59"/>
    </row>
    <row r="22" spans="1:19">
      <c r="A22" s="60"/>
      <c r="B22" s="61"/>
      <c r="C22" s="62"/>
      <c r="D22" s="60"/>
      <c r="E22" s="60"/>
      <c r="F22" s="63"/>
      <c r="G22" s="60"/>
      <c r="H22" s="64"/>
      <c r="I22" s="64"/>
      <c r="J22" s="64"/>
      <c r="K22" s="64"/>
      <c r="L22" s="64"/>
      <c r="M22" s="64"/>
      <c r="N22" s="64"/>
      <c r="O22" s="64"/>
      <c r="P22" s="64"/>
      <c r="Q22" s="64"/>
    </row>
    <row r="23" spans="1:19">
      <c r="A23" s="65" t="s">
        <v>559</v>
      </c>
      <c r="B23" s="61"/>
      <c r="C23" s="62"/>
      <c r="D23" s="60"/>
      <c r="E23" s="60"/>
      <c r="F23" s="63"/>
      <c r="G23" s="60"/>
      <c r="H23" s="64"/>
      <c r="I23" s="64"/>
      <c r="J23" s="64"/>
      <c r="K23" s="64"/>
      <c r="L23" s="64"/>
      <c r="M23" s="64"/>
      <c r="N23" s="64"/>
      <c r="O23" s="64"/>
      <c r="P23" s="64"/>
      <c r="Q23" s="64"/>
    </row>
    <row r="24" spans="1:19" ht="28.9">
      <c r="A24" s="66" t="s">
        <v>560</v>
      </c>
      <c r="B24" s="61"/>
      <c r="C24" s="62"/>
      <c r="D24" s="60"/>
      <c r="E24" s="60"/>
      <c r="F24" s="63"/>
      <c r="G24" s="60"/>
      <c r="H24" s="64"/>
      <c r="I24" s="64"/>
      <c r="J24" s="64"/>
      <c r="K24" s="64"/>
      <c r="L24" s="64"/>
      <c r="M24" s="64"/>
      <c r="N24" s="64"/>
      <c r="O24" s="64"/>
      <c r="P24" s="64"/>
      <c r="Q24" s="64"/>
    </row>
    <row r="25" spans="1:19" ht="115.15">
      <c r="A25" s="66" t="s">
        <v>561</v>
      </c>
    </row>
    <row r="26" spans="1:19" ht="57.6">
      <c r="A26" s="66" t="s">
        <v>562</v>
      </c>
    </row>
    <row r="29" spans="1:19">
      <c r="A29" s="67" t="s">
        <v>563</v>
      </c>
      <c r="B29" t="e">
        <f ca="1">YEAR("31/7/2031")-YEAR(TODAY())</f>
        <v>#VALUE!</v>
      </c>
    </row>
    <row r="30" spans="1:19">
      <c r="A30" s="67" t="s">
        <v>564</v>
      </c>
      <c r="B30" t="e">
        <f ca="1">B29-1</f>
        <v>#VALUE!</v>
      </c>
    </row>
  </sheetData>
  <mergeCells count="19">
    <mergeCell ref="A1:A3"/>
    <mergeCell ref="B1:B3"/>
    <mergeCell ref="C1:C3"/>
    <mergeCell ref="D1:F1"/>
    <mergeCell ref="G1:G3"/>
    <mergeCell ref="D2:D3"/>
    <mergeCell ref="E2:E3"/>
    <mergeCell ref="H1:H3"/>
    <mergeCell ref="R1:R3"/>
    <mergeCell ref="S1:S3"/>
    <mergeCell ref="I1:I3"/>
    <mergeCell ref="J1:J3"/>
    <mergeCell ref="K1:K3"/>
    <mergeCell ref="L1:L3"/>
    <mergeCell ref="M1:M3"/>
    <mergeCell ref="N1:N3"/>
    <mergeCell ref="O1:O3"/>
    <mergeCell ref="P1:P3"/>
    <mergeCell ref="Q1:Q3"/>
  </mergeCells>
  <pageMargins left="0.7" right="0.7" top="0.75" bottom="0.75" header="0.3" footer="0.3"/>
  <headerFooter>
    <oddFooter>&amp;C_x000D_&amp;1#&amp;"Aptos"&amp;10&amp;K3CB371 Crédit Agricole Italia - Pubblico</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88"/>
  <sheetViews>
    <sheetView zoomScale="120" zoomScaleNormal="120" workbookViewId="0">
      <selection activeCell="B23" sqref="B23"/>
    </sheetView>
  </sheetViews>
  <sheetFormatPr defaultRowHeight="14.45"/>
  <cols>
    <col min="2" max="2" width="26.7109375" bestFit="1" customWidth="1"/>
    <col min="3" max="3" width="14.5703125" style="2" hidden="1" customWidth="1"/>
    <col min="4" max="4" width="13.28515625" style="2" bestFit="1" customWidth="1"/>
    <col min="5" max="5" width="18.42578125" style="2" bestFit="1" customWidth="1"/>
    <col min="6" max="6" width="12" style="2" customWidth="1"/>
    <col min="7" max="7" width="14.28515625" bestFit="1" customWidth="1"/>
    <col min="8" max="8" width="12.5703125" bestFit="1" customWidth="1"/>
    <col min="9" max="9" width="31.5703125" style="2" customWidth="1"/>
    <col min="10" max="10" width="14.7109375" style="2" bestFit="1" customWidth="1"/>
  </cols>
  <sheetData>
    <row r="2" spans="2:10">
      <c r="B2" s="5" t="s">
        <v>650</v>
      </c>
      <c r="C2" s="7" t="s">
        <v>434</v>
      </c>
      <c r="D2" s="7" t="s">
        <v>435</v>
      </c>
      <c r="E2" s="7" t="s">
        <v>651</v>
      </c>
      <c r="F2" s="7" t="s">
        <v>652</v>
      </c>
      <c r="G2" s="6" t="s">
        <v>653</v>
      </c>
      <c r="H2" s="6" t="s">
        <v>654</v>
      </c>
      <c r="I2" s="7" t="s">
        <v>655</v>
      </c>
    </row>
    <row r="3" spans="2:10">
      <c r="B3" s="50" t="s">
        <v>535</v>
      </c>
      <c r="C3" s="23"/>
      <c r="D3" s="23" t="e">
        <f>#REF!</f>
        <v>#REF!</v>
      </c>
      <c r="E3" s="51" t="e">
        <f>#REF!+#REF!</f>
        <v>#REF!</v>
      </c>
      <c r="F3" s="51" t="e">
        <f>#REF!</f>
        <v>#REF!</v>
      </c>
      <c r="G3" s="23" t="e">
        <f>D3*E3</f>
        <v>#REF!</v>
      </c>
      <c r="H3" s="23" t="e">
        <f>D3*F3</f>
        <v>#REF!</v>
      </c>
      <c r="I3" s="23" t="e">
        <f>G3+H3</f>
        <v>#REF!</v>
      </c>
    </row>
    <row r="4" spans="2:10">
      <c r="B4" s="50" t="s">
        <v>539</v>
      </c>
      <c r="C4" s="23"/>
      <c r="D4" s="23" t="e">
        <f>#REF!</f>
        <v>#REF!</v>
      </c>
      <c r="E4" s="51" t="e">
        <f>#REF!+#REF!</f>
        <v>#REF!</v>
      </c>
      <c r="F4" s="51" t="e">
        <f>#REF!</f>
        <v>#REF!</v>
      </c>
      <c r="G4" s="23" t="e">
        <f t="shared" ref="G4:G5" si="0">D4*E4</f>
        <v>#REF!</v>
      </c>
      <c r="H4" s="23" t="e">
        <f t="shared" ref="H4:H5" si="1">D4*F4</f>
        <v>#REF!</v>
      </c>
      <c r="I4" s="23" t="e">
        <f t="shared" ref="I4:I5" si="2">G4+H4</f>
        <v>#REF!</v>
      </c>
    </row>
    <row r="5" spans="2:10">
      <c r="B5" s="50" t="s">
        <v>648</v>
      </c>
      <c r="C5" s="23"/>
      <c r="D5" s="23" t="e">
        <f>#REF!</f>
        <v>#REF!</v>
      </c>
      <c r="E5" s="51" t="e">
        <f>#REF!+#REF!</f>
        <v>#REF!</v>
      </c>
      <c r="F5" s="51" t="e">
        <f>#REF!</f>
        <v>#REF!</v>
      </c>
      <c r="G5" s="23" t="e">
        <f t="shared" si="0"/>
        <v>#REF!</v>
      </c>
      <c r="H5" s="23" t="e">
        <f t="shared" si="1"/>
        <v>#REF!</v>
      </c>
      <c r="I5" s="23" t="e">
        <f t="shared" si="2"/>
        <v>#REF!</v>
      </c>
    </row>
    <row r="6" spans="2:10">
      <c r="B6" s="29"/>
      <c r="C6" s="31"/>
      <c r="D6" s="31"/>
      <c r="E6" s="32"/>
      <c r="F6" s="32"/>
      <c r="G6" s="31"/>
      <c r="H6" s="31"/>
      <c r="I6" s="31"/>
      <c r="J6" s="8" t="e">
        <f>SUM(I3:I6)</f>
        <v>#REF!</v>
      </c>
    </row>
    <row r="8" spans="2:10">
      <c r="B8" s="5" t="s">
        <v>493</v>
      </c>
      <c r="C8" s="5" t="s">
        <v>434</v>
      </c>
      <c r="D8" s="5" t="s">
        <v>435</v>
      </c>
      <c r="E8" s="5"/>
      <c r="F8" s="5"/>
      <c r="G8" s="5" t="s">
        <v>656</v>
      </c>
      <c r="H8" s="5"/>
      <c r="I8" s="5" t="s">
        <v>655</v>
      </c>
    </row>
    <row r="9" spans="2:10">
      <c r="B9" s="50" t="s">
        <v>47</v>
      </c>
      <c r="C9" s="23"/>
      <c r="D9" s="23" t="e">
        <f>'ACN Costo Infra'!#REF!</f>
        <v>#REF!</v>
      </c>
      <c r="E9" s="23"/>
      <c r="F9" s="23"/>
      <c r="G9" s="22" t="e">
        <f>#REF!</f>
        <v>#REF!</v>
      </c>
      <c r="H9" s="22"/>
      <c r="I9" s="23" t="s">
        <v>657</v>
      </c>
    </row>
    <row r="10" spans="2:10">
      <c r="B10" s="50" t="s">
        <v>49</v>
      </c>
      <c r="C10" s="31"/>
      <c r="D10" s="31" t="e">
        <f>'ACN Costo Infra'!#REF!</f>
        <v>#REF!</v>
      </c>
      <c r="E10" s="31"/>
      <c r="F10" s="31"/>
      <c r="G10" s="25" t="e">
        <f>#REF!</f>
        <v>#REF!</v>
      </c>
      <c r="H10" s="25"/>
      <c r="I10" s="31"/>
      <c r="J10" s="8" t="str">
        <f>I9</f>
        <v xml:space="preserve"> </v>
      </c>
    </row>
    <row r="12" spans="2:10">
      <c r="B12" s="5" t="s">
        <v>658</v>
      </c>
      <c r="C12" s="7" t="s">
        <v>434</v>
      </c>
      <c r="D12" s="7" t="s">
        <v>435</v>
      </c>
      <c r="E12" s="7" t="s">
        <v>659</v>
      </c>
      <c r="F12" s="7"/>
      <c r="G12" s="6" t="s">
        <v>660</v>
      </c>
      <c r="H12" s="6"/>
      <c r="I12" s="7" t="s">
        <v>655</v>
      </c>
    </row>
    <row r="13" spans="2:10">
      <c r="B13" s="50" t="s">
        <v>52</v>
      </c>
      <c r="C13" s="23"/>
      <c r="D13" s="2" t="e">
        <f>#REF!</f>
        <v>#REF!</v>
      </c>
      <c r="E13" s="22"/>
      <c r="F13" s="22"/>
      <c r="G13" s="22"/>
      <c r="H13" s="22"/>
      <c r="I13" s="22"/>
    </row>
    <row r="14" spans="2:10">
      <c r="B14" s="50" t="s">
        <v>54</v>
      </c>
      <c r="C14" s="31"/>
      <c r="D14" s="31" t="e">
        <f>#REF!</f>
        <v>#REF!</v>
      </c>
      <c r="E14" s="31"/>
      <c r="F14" s="31"/>
      <c r="G14" s="25"/>
      <c r="H14" s="25"/>
      <c r="I14" s="31"/>
      <c r="J14" s="8" t="e">
        <f>#REF!</f>
        <v>#REF!</v>
      </c>
    </row>
    <row r="16" spans="2:10">
      <c r="B16" s="5" t="s">
        <v>661</v>
      </c>
      <c r="C16" s="5" t="s">
        <v>434</v>
      </c>
      <c r="D16" s="5" t="s">
        <v>435</v>
      </c>
      <c r="E16" s="5" t="s">
        <v>662</v>
      </c>
      <c r="F16" s="5" t="s">
        <v>663</v>
      </c>
      <c r="G16" s="5" t="s">
        <v>664</v>
      </c>
      <c r="H16" s="5" t="s">
        <v>665</v>
      </c>
      <c r="I16" s="5" t="s">
        <v>655</v>
      </c>
    </row>
    <row r="17" spans="1:12">
      <c r="B17" s="47" t="s">
        <v>544</v>
      </c>
      <c r="C17" s="48"/>
      <c r="D17" s="49" t="e">
        <f>'ACN Costo Infra'!#REF!</f>
        <v>#REF!</v>
      </c>
      <c r="E17" s="48"/>
      <c r="F17" s="48"/>
      <c r="G17" s="48"/>
      <c r="H17" s="48"/>
      <c r="I17" s="48" t="s">
        <v>657</v>
      </c>
    </row>
    <row r="18" spans="1:12" ht="27.6">
      <c r="B18" s="48" t="s">
        <v>666</v>
      </c>
      <c r="C18" s="48"/>
      <c r="D18" s="49" t="e">
        <f>'ACN Costo Infra'!#REF!</f>
        <v>#REF!</v>
      </c>
      <c r="E18" s="48"/>
      <c r="F18" s="48"/>
      <c r="G18" s="48"/>
      <c r="H18" s="48"/>
      <c r="I18" s="48"/>
    </row>
    <row r="19" spans="1:12" ht="27.6">
      <c r="B19" s="48" t="s">
        <v>667</v>
      </c>
      <c r="C19" s="48"/>
      <c r="D19" s="49" t="e">
        <f>'ACN Costo Infra'!#REF!</f>
        <v>#REF!</v>
      </c>
      <c r="E19" s="48"/>
      <c r="F19" s="48"/>
      <c r="G19" s="48"/>
      <c r="H19" s="48"/>
      <c r="I19" s="48"/>
    </row>
    <row r="20" spans="1:12">
      <c r="B20" s="48" t="s">
        <v>59</v>
      </c>
      <c r="C20" s="48"/>
      <c r="D20" s="49" t="e">
        <f>'ACN Costo Infra'!#REF!</f>
        <v>#REF!</v>
      </c>
      <c r="E20" s="48"/>
      <c r="F20" s="48"/>
      <c r="G20" s="48"/>
      <c r="H20" s="48"/>
      <c r="I20" s="48"/>
    </row>
    <row r="21" spans="1:12">
      <c r="B21" s="48" t="s">
        <v>60</v>
      </c>
      <c r="C21" s="48"/>
      <c r="D21" s="49" t="e">
        <f>'ACN Costo Infra'!#REF!</f>
        <v>#REF!</v>
      </c>
      <c r="E21" s="48"/>
      <c r="F21" s="48"/>
      <c r="G21" s="48"/>
      <c r="H21" s="48"/>
      <c r="I21" s="48"/>
    </row>
    <row r="22" spans="1:12" ht="27.6">
      <c r="B22" s="48" t="s">
        <v>61</v>
      </c>
      <c r="C22" s="48"/>
      <c r="D22" s="49" t="e">
        <f>'ACN Costo Infra'!#REF!</f>
        <v>#REF!</v>
      </c>
      <c r="E22" s="48"/>
      <c r="F22" s="48"/>
      <c r="G22" s="48"/>
      <c r="H22" s="48"/>
      <c r="I22" s="48"/>
    </row>
    <row r="23" spans="1:12" ht="27.6">
      <c r="B23" s="48" t="s">
        <v>63</v>
      </c>
      <c r="C23" s="48"/>
      <c r="D23" s="49" t="e">
        <f>'ACN Costo Infra'!#REF!</f>
        <v>#REF!</v>
      </c>
      <c r="E23" s="48"/>
      <c r="F23" s="48"/>
      <c r="G23" s="48"/>
      <c r="H23" s="48"/>
      <c r="I23" s="48"/>
    </row>
    <row r="24" spans="1:12" ht="27.6">
      <c r="B24" s="48" t="s">
        <v>64</v>
      </c>
      <c r="C24" s="48"/>
      <c r="D24" s="49" t="e">
        <f>'ACN Costo Infra'!#REF!</f>
        <v>#REF!</v>
      </c>
      <c r="E24" s="48"/>
      <c r="F24" s="48"/>
      <c r="G24" s="48"/>
      <c r="H24" s="48"/>
      <c r="I24" s="48"/>
    </row>
    <row r="25" spans="1:12" ht="27.6">
      <c r="A25" t="s">
        <v>657</v>
      </c>
      <c r="B25" s="48" t="s">
        <v>65</v>
      </c>
      <c r="C25" s="48"/>
      <c r="D25" s="49" t="e">
        <f>'ACN Costo Infra'!#REF!</f>
        <v>#REF!</v>
      </c>
      <c r="E25" s="48"/>
      <c r="F25" s="48"/>
      <c r="G25" s="48"/>
      <c r="H25" s="48"/>
      <c r="I25" s="48"/>
    </row>
    <row r="26" spans="1:12">
      <c r="B26" s="25"/>
      <c r="C26" s="31"/>
      <c r="D26" s="31"/>
      <c r="E26" s="31"/>
      <c r="F26" s="31"/>
      <c r="G26" s="25"/>
      <c r="H26" s="25"/>
      <c r="I26" s="31"/>
      <c r="J26" s="8">
        <f>I26</f>
        <v>0</v>
      </c>
    </row>
    <row r="27" spans="1:12">
      <c r="J27"/>
    </row>
    <row r="28" spans="1:12">
      <c r="B28" t="s">
        <v>668</v>
      </c>
      <c r="J28" s="10" t="e">
        <f>SUM(J2:J15)</f>
        <v>#REF!</v>
      </c>
    </row>
    <row r="29" spans="1:12" ht="15" thickBot="1">
      <c r="A29" s="1"/>
      <c r="B29" s="1"/>
      <c r="C29" s="15"/>
      <c r="D29" s="15"/>
      <c r="E29" s="15"/>
      <c r="F29" s="15"/>
      <c r="G29" s="1"/>
      <c r="H29" s="1"/>
      <c r="I29" s="15"/>
      <c r="J29" s="15"/>
      <c r="K29" s="1"/>
      <c r="L29" s="1"/>
    </row>
    <row r="30" spans="1:12" ht="15" thickTop="1"/>
    <row r="31" spans="1:12">
      <c r="B31" s="24" t="s">
        <v>433</v>
      </c>
      <c r="C31" s="27" t="s">
        <v>434</v>
      </c>
      <c r="D31" s="27" t="s">
        <v>435</v>
      </c>
      <c r="E31" s="4" t="s">
        <v>656</v>
      </c>
      <c r="F31" s="18"/>
      <c r="G31" s="14" t="s">
        <v>655</v>
      </c>
      <c r="H31" s="2"/>
    </row>
    <row r="32" spans="1:12">
      <c r="B32" s="22" t="str">
        <f>'ACN Listino licenze'!B4</f>
        <v xml:space="preserve">Windows Standard + SCCM (16 core) </v>
      </c>
      <c r="C32" s="23">
        <f>'ACN Listino licenze'!C4</f>
        <v>2306.88</v>
      </c>
      <c r="D32" s="23">
        <f>'ACN Listino licenze'!D4</f>
        <v>2814.3935999999999</v>
      </c>
      <c r="E32" s="22" t="e">
        <f>'ACN Costo Infra'!#REF!+'ACN Costo Infra'!#REF!</f>
        <v>#REF!</v>
      </c>
      <c r="F32" s="23"/>
      <c r="G32" s="23" t="e">
        <f>'ACN Costo Infra'!#REF!+'ACN Costo Infra'!#REF!</f>
        <v>#REF!</v>
      </c>
      <c r="H32" s="2"/>
    </row>
    <row r="33" spans="2:8">
      <c r="B33" s="22" t="str">
        <f>'ACN Listino licenze'!B5</f>
        <v>Windows Datacenter + SCCM (16 core)</v>
      </c>
      <c r="C33" s="23">
        <f>'ACN Listino licenze'!C5</f>
        <v>10884.48</v>
      </c>
      <c r="D33" s="23">
        <f>'ACN Listino licenze'!D5</f>
        <v>13279.0656</v>
      </c>
      <c r="E33" s="22" t="e">
        <f>'ACN Costo Infra'!#REF!+'ACN Costo Infra'!#REF!</f>
        <v>#REF!</v>
      </c>
      <c r="F33" s="21"/>
      <c r="G33" s="12" t="e">
        <f>'ACN Costo Infra'!#REF!+'ACN Costo Infra'!#REF!</f>
        <v>#REF!</v>
      </c>
      <c r="H33" s="2"/>
    </row>
    <row r="34" spans="2:8">
      <c r="B34" s="22" t="str">
        <f>'ACN Listino licenze'!B8</f>
        <v>Linux Red Hat (host esx + Smart) Premium</v>
      </c>
      <c r="C34" s="23">
        <f>'ACN Listino licenze'!C8</f>
        <v>919.4</v>
      </c>
      <c r="D34" s="23">
        <f>'ACN Listino licenze'!D8</f>
        <v>1121.6679999999999</v>
      </c>
      <c r="E34" s="22" t="e">
        <f>'ACN Costo Infra'!#REF!+'ACN Costo Infra'!#REF!</f>
        <v>#REF!</v>
      </c>
      <c r="F34" s="21"/>
      <c r="G34" s="12" t="e">
        <f>'ACN Costo Infra'!#REF!+'ACN Costo Infra'!#REF!</f>
        <v>#REF!</v>
      </c>
      <c r="H34" s="2"/>
    </row>
    <row r="35" spans="2:8">
      <c r="B35" s="22" t="e">
        <f>'ACN Listino licenze'!#REF!</f>
        <v>#REF!</v>
      </c>
      <c r="C35" s="23" t="e">
        <f>'ACN Listino licenze'!#REF!</f>
        <v>#REF!</v>
      </c>
      <c r="D35" s="23" t="e">
        <f>'ACN Listino licenze'!#REF!</f>
        <v>#REF!</v>
      </c>
      <c r="E35" s="22" t="e">
        <f>'ACN Costo Infra'!#REF!+'ACN Costo Infra'!#REF!</f>
        <v>#REF!</v>
      </c>
      <c r="F35" s="21"/>
      <c r="G35" s="12" t="e">
        <f>'ACN Costo Infra'!#REF!+'ACN Costo Infra'!#REF!</f>
        <v>#REF!</v>
      </c>
      <c r="H35" s="2"/>
    </row>
    <row r="36" spans="2:8">
      <c r="B36" s="25"/>
      <c r="C36" s="31"/>
      <c r="D36" s="31"/>
      <c r="E36" s="25" t="e">
        <f>'ACN Listino licenze'!#REF!</f>
        <v>#REF!</v>
      </c>
      <c r="F36" s="20"/>
      <c r="G36" s="13" t="e">
        <f>'ACN Listino licenze'!#REF!</f>
        <v>#REF!</v>
      </c>
      <c r="H36" s="11" t="e">
        <f>SUM(G32:G36)</f>
        <v>#REF!</v>
      </c>
    </row>
    <row r="39" spans="2:8">
      <c r="B39" s="24" t="s">
        <v>443</v>
      </c>
      <c r="C39" s="27" t="s">
        <v>434</v>
      </c>
      <c r="D39" s="27" t="s">
        <v>435</v>
      </c>
      <c r="E39" s="4" t="s">
        <v>656</v>
      </c>
      <c r="F39" s="4"/>
      <c r="G39" s="27" t="s">
        <v>655</v>
      </c>
      <c r="H39" s="2"/>
    </row>
    <row r="40" spans="2:8">
      <c r="B40" s="22" t="str">
        <f>'ACN Listino licenze'!B12</f>
        <v>Vmware OEM</v>
      </c>
      <c r="C40" s="23">
        <f>'ACN Listino licenze'!C12</f>
        <v>2295</v>
      </c>
      <c r="D40" s="23">
        <f>'ACN Listino licenze'!D12</f>
        <v>2799.9</v>
      </c>
      <c r="E40" s="22" t="e">
        <f>'ACN Costo Infra'!#REF!+'ACN Costo Infra'!#REF!</f>
        <v>#REF!</v>
      </c>
      <c r="F40" s="22"/>
      <c r="G40" s="23" t="e">
        <f>'ACN Costo Infra'!#REF!+'ACN Costo Infra'!#REF!</f>
        <v>#REF!</v>
      </c>
      <c r="H40" s="2"/>
    </row>
    <row r="41" spans="2:8">
      <c r="B41" s="25"/>
      <c r="C41" s="31"/>
      <c r="D41" s="31"/>
      <c r="E41" s="25"/>
      <c r="F41" s="25"/>
      <c r="G41" s="31" t="e">
        <f>'ACN Listino licenze'!#REF!</f>
        <v>#REF!</v>
      </c>
      <c r="H41" s="11" t="e">
        <f>SUM(G40:G41)</f>
        <v>#REF!</v>
      </c>
    </row>
    <row r="44" spans="2:8">
      <c r="B44" s="24" t="s">
        <v>445</v>
      </c>
      <c r="C44" s="27" t="s">
        <v>434</v>
      </c>
      <c r="D44" s="27" t="s">
        <v>435</v>
      </c>
      <c r="E44" s="4" t="s">
        <v>656</v>
      </c>
      <c r="F44" s="4"/>
      <c r="G44" s="27" t="s">
        <v>655</v>
      </c>
      <c r="H44" s="2"/>
    </row>
    <row r="45" spans="2:8">
      <c r="B45" s="22" t="e">
        <f>'ACN Listino licenze'!#REF!</f>
        <v>#REF!</v>
      </c>
      <c r="C45" s="23" t="e">
        <f>'ACN Listino licenze'!#REF!</f>
        <v>#REF!</v>
      </c>
      <c r="D45" s="23" t="e">
        <f>'ACN Listino licenze'!#REF!</f>
        <v>#REF!</v>
      </c>
      <c r="E45" s="22" t="e">
        <f>'ACN Costo Infra'!#REF!</f>
        <v>#REF!</v>
      </c>
      <c r="F45" s="22"/>
      <c r="G45" s="23" t="e">
        <f>'ACN Costo Infra'!#REF!</f>
        <v>#REF!</v>
      </c>
      <c r="H45" s="2"/>
    </row>
    <row r="46" spans="2:8">
      <c r="B46" s="22" t="e">
        <f>'ACN Listino licenze'!#REF!</f>
        <v>#REF!</v>
      </c>
      <c r="C46" s="23" t="e">
        <f>'ACN Listino licenze'!#REF!</f>
        <v>#REF!</v>
      </c>
      <c r="D46" s="23" t="e">
        <f>'ACN Listino licenze'!#REF!</f>
        <v>#REF!</v>
      </c>
      <c r="E46" s="22" t="e">
        <f>'ACN Costo Infra'!#REF!</f>
        <v>#REF!</v>
      </c>
      <c r="F46" s="22"/>
      <c r="G46" s="23" t="e">
        <f>'ACN Costo Infra'!#REF!</f>
        <v>#REF!</v>
      </c>
      <c r="H46" s="2"/>
    </row>
    <row r="47" spans="2:8">
      <c r="B47" s="22" t="e">
        <f>'ACN Listino licenze'!#REF!</f>
        <v>#REF!</v>
      </c>
      <c r="C47" s="23" t="e">
        <f>'ACN Listino licenze'!#REF!</f>
        <v>#REF!</v>
      </c>
      <c r="D47" s="23" t="e">
        <f>'ACN Listino licenze'!#REF!</f>
        <v>#REF!</v>
      </c>
      <c r="E47" s="22" t="e">
        <f>'ACN Costo Infra'!#REF!</f>
        <v>#REF!</v>
      </c>
      <c r="F47" s="22"/>
      <c r="G47" s="23" t="e">
        <f>'ACN Costo Infra'!#REF!</f>
        <v>#REF!</v>
      </c>
      <c r="H47" s="2"/>
    </row>
    <row r="48" spans="2:8">
      <c r="B48" s="25" t="e">
        <f>'ACN Listino licenze'!#REF!</f>
        <v>#REF!</v>
      </c>
      <c r="C48" s="31" t="e">
        <f>'ACN Listino licenze'!#REF!</f>
        <v>#REF!</v>
      </c>
      <c r="D48" s="31" t="e">
        <f>'ACN Listino licenze'!#REF!</f>
        <v>#REF!</v>
      </c>
      <c r="E48" s="25" t="e">
        <f>'ACN Listino licenze'!#REF!</f>
        <v>#REF!</v>
      </c>
      <c r="F48" s="25"/>
      <c r="G48" s="31" t="e">
        <f>'ACN Listino licenze'!#REF!</f>
        <v>#REF!</v>
      </c>
      <c r="H48" s="11" t="e">
        <f>SUM(G45:G48)</f>
        <v>#REF!</v>
      </c>
    </row>
    <row r="51" spans="2:8">
      <c r="B51" s="24" t="s">
        <v>448</v>
      </c>
      <c r="C51" s="27" t="s">
        <v>434</v>
      </c>
      <c r="D51" s="27" t="s">
        <v>435</v>
      </c>
      <c r="E51" s="4" t="s">
        <v>656</v>
      </c>
      <c r="F51" s="4"/>
      <c r="G51" s="27" t="s">
        <v>655</v>
      </c>
      <c r="H51" s="2"/>
    </row>
    <row r="52" spans="2:8">
      <c r="B52" s="22" t="str">
        <f>'ACN Listino licenze'!B24</f>
        <v>Subscription sharepoint</v>
      </c>
      <c r="C52" s="23">
        <f>'ACN Listino licenze'!C24</f>
        <v>1484.49</v>
      </c>
      <c r="D52" s="23">
        <f>'ACN Listino licenze'!D24</f>
        <v>1811.0778</v>
      </c>
      <c r="E52" s="22" t="e">
        <f>'ACN Costo Infra'!#REF!+'ACN Costo Infra'!#REF!</f>
        <v>#REF!</v>
      </c>
      <c r="F52" s="22"/>
      <c r="G52" s="23" t="e">
        <f>'ACN Costo Infra'!#REF!+'ACN Costo Infra'!#REF!</f>
        <v>#REF!</v>
      </c>
      <c r="H52" s="2"/>
    </row>
    <row r="53" spans="2:8" customFormat="1">
      <c r="B53" s="22" t="s">
        <v>669</v>
      </c>
      <c r="C53" s="23"/>
      <c r="D53" s="23">
        <f>'ACN Listino licenze'!D25</f>
        <v>5002</v>
      </c>
      <c r="E53" s="22" t="e">
        <f>'ACN Costo Infra'!#REF!+'ACN Costo Infra'!H29</f>
        <v>#REF!</v>
      </c>
      <c r="F53" s="22"/>
      <c r="G53" s="23" t="e">
        <f>'ACN Costo Infra'!#REF!+'ACN Costo Infra'!#REF!</f>
        <v>#REF!</v>
      </c>
      <c r="H53" s="2"/>
    </row>
    <row r="54" spans="2:8">
      <c r="B54" s="22" t="str">
        <f>'ACN Listino licenze'!B27</f>
        <v>websphere - PVU (1core=70PVU)</v>
      </c>
      <c r="C54" s="23">
        <f>'ACN Listino licenze'!C27</f>
        <v>39.06</v>
      </c>
      <c r="D54" s="23">
        <f>'ACN Listino licenze'!D27</f>
        <v>47.653199999999998</v>
      </c>
      <c r="E54" s="22">
        <f>'ACN Costo Infra'!H31+'ACN Costo Infra'!H32</f>
        <v>0</v>
      </c>
      <c r="F54" s="22"/>
      <c r="G54" s="23" t="e">
        <f>'ACN Costo Infra'!#REF!+'ACN Costo Infra'!#REF!</f>
        <v>#REF!</v>
      </c>
      <c r="H54" s="2"/>
    </row>
    <row r="55" spans="2:8">
      <c r="B55" s="25" t="e">
        <f>'ACN Listino licenze'!#REF!</f>
        <v>#REF!</v>
      </c>
      <c r="C55" s="31" t="e">
        <f>'ACN Listino licenze'!#REF!</f>
        <v>#REF!</v>
      </c>
      <c r="D55" s="31" t="e">
        <f>'ACN Listino licenze'!#REF!</f>
        <v>#REF!</v>
      </c>
      <c r="E55" s="25" t="e">
        <f>'ACN Listino licenze'!#REF!</f>
        <v>#REF!</v>
      </c>
      <c r="F55" s="25"/>
      <c r="G55" s="31"/>
      <c r="H55" s="30" t="e">
        <f>SUM(G52:G55)</f>
        <v>#REF!</v>
      </c>
    </row>
    <row r="57" spans="2:8">
      <c r="B57" s="24" t="s">
        <v>453</v>
      </c>
      <c r="C57" s="27" t="s">
        <v>434</v>
      </c>
      <c r="D57" s="27" t="s">
        <v>435</v>
      </c>
      <c r="E57" s="27" t="s">
        <v>670</v>
      </c>
      <c r="F57" s="27" t="s">
        <v>671</v>
      </c>
      <c r="G57" s="27" t="s">
        <v>655</v>
      </c>
      <c r="H57" s="2"/>
    </row>
    <row r="58" spans="2:8">
      <c r="B58" s="34" t="s">
        <v>672</v>
      </c>
      <c r="C58" s="23">
        <v>0</v>
      </c>
      <c r="D58" s="23">
        <v>14622.92</v>
      </c>
      <c r="E58" s="21">
        <v>0</v>
      </c>
      <c r="F58" s="23" t="e">
        <f>#REF!*E58</f>
        <v>#REF!</v>
      </c>
      <c r="G58" s="12"/>
      <c r="H58" s="2"/>
    </row>
    <row r="59" spans="2:8">
      <c r="B59" s="34" t="s">
        <v>673</v>
      </c>
      <c r="C59" s="12">
        <v>0</v>
      </c>
      <c r="D59" s="23">
        <v>7174</v>
      </c>
      <c r="E59" s="21" t="s">
        <v>657</v>
      </c>
      <c r="F59" s="23"/>
      <c r="G59" s="12"/>
      <c r="H59" s="2"/>
    </row>
    <row r="60" spans="2:8" customFormat="1" ht="28.9">
      <c r="B60" s="34" t="str">
        <f>'ACN Listino licenze'!B30</f>
        <v>SQL server Enterprise (costo per 2 core)</v>
      </c>
      <c r="C60" s="12">
        <v>0</v>
      </c>
      <c r="D60" s="23">
        <f>'ACN Listino licenze'!D30</f>
        <v>56959.360000000001</v>
      </c>
      <c r="E60" s="21" t="e">
        <f>'ACN Costo Infra'!#REF!+'ACN Costo Infra'!#REF!</f>
        <v>#REF!</v>
      </c>
      <c r="F60" s="23" t="e">
        <f>'ACN Costo Infra'!#REF!+'ACN Costo Infra'!#REF!</f>
        <v>#REF!</v>
      </c>
      <c r="G60" s="12"/>
      <c r="H60" s="2"/>
    </row>
    <row r="61" spans="2:8">
      <c r="B61" s="25"/>
      <c r="C61" s="31"/>
      <c r="D61" s="31" t="s">
        <v>657</v>
      </c>
      <c r="E61" s="20"/>
      <c r="F61" s="31" t="e">
        <f>SUM(F58:F60)</f>
        <v>#REF!</v>
      </c>
      <c r="G61" s="13"/>
      <c r="H61" s="30" t="e">
        <f>SUM(E61:F61)</f>
        <v>#REF!</v>
      </c>
    </row>
    <row r="63" spans="2:8">
      <c r="B63" s="24" t="s">
        <v>457</v>
      </c>
      <c r="C63" s="27" t="s">
        <v>434</v>
      </c>
      <c r="D63" s="27" t="s">
        <v>435</v>
      </c>
      <c r="E63" s="4" t="s">
        <v>656</v>
      </c>
      <c r="F63" s="4"/>
      <c r="G63" s="27" t="s">
        <v>655</v>
      </c>
      <c r="H63" s="2"/>
    </row>
    <row r="64" spans="2:8">
      <c r="B64" s="22" t="str">
        <f>'ACN Listino licenze'!B36</f>
        <v>TWS a job</v>
      </c>
      <c r="C64" s="23">
        <f>'ACN Listino licenze'!C36</f>
        <v>1.03</v>
      </c>
      <c r="D64" s="23">
        <f>'ACN Listino licenze'!D36</f>
        <v>1.2565999999999999</v>
      </c>
      <c r="E64" s="22">
        <f>'ACN Costo Infra'!H33</f>
        <v>0</v>
      </c>
      <c r="F64" s="22"/>
      <c r="G64" s="23" t="e">
        <f>'ACN Costo Infra'!#REF!</f>
        <v>#REF!</v>
      </c>
      <c r="H64" s="2"/>
    </row>
    <row r="65" spans="2:8">
      <c r="B65" s="25" t="e">
        <f>'ACN Listino licenze'!#REF!</f>
        <v>#REF!</v>
      </c>
      <c r="C65" s="31" t="e">
        <f>'ACN Listino licenze'!#REF!</f>
        <v>#REF!</v>
      </c>
      <c r="D65" s="31" t="e">
        <f>'ACN Listino licenze'!#REF!</f>
        <v>#REF!</v>
      </c>
      <c r="E65" s="25" t="e">
        <f>'ACN Listino licenze'!#REF!</f>
        <v>#REF!</v>
      </c>
      <c r="F65" s="25"/>
      <c r="G65" s="31" t="e">
        <f>'ACN Listino licenze'!#REF!</f>
        <v>#REF!</v>
      </c>
      <c r="H65" s="30" t="e">
        <f>SUM(G64:G65)</f>
        <v>#REF!</v>
      </c>
    </row>
    <row r="67" spans="2:8">
      <c r="B67" s="24" t="s">
        <v>459</v>
      </c>
      <c r="C67" s="27" t="s">
        <v>434</v>
      </c>
      <c r="D67" s="27" t="s">
        <v>435</v>
      </c>
      <c r="E67" s="4" t="s">
        <v>656</v>
      </c>
      <c r="F67" s="4"/>
      <c r="G67" s="27" t="s">
        <v>655</v>
      </c>
      <c r="H67" s="2"/>
    </row>
    <row r="68" spans="2:8">
      <c r="B68" s="22" t="str">
        <f>'ACN Listino licenze'!B39</f>
        <v>SRM</v>
      </c>
      <c r="C68" s="23">
        <f>'ACN Listino licenze'!C39</f>
        <v>4152.66</v>
      </c>
      <c r="D68" s="23">
        <f>'ACN Listino licenze'!D39</f>
        <v>5066.2451999999994</v>
      </c>
      <c r="E68" s="22" t="e">
        <f>'ACN Costo Infra'!#REF!+'ACN Costo Infra'!H35</f>
        <v>#REF!</v>
      </c>
      <c r="F68" s="22"/>
      <c r="G68" s="23" t="e">
        <f>'ACN Costo Infra'!#REF!+'ACN Costo Infra'!#REF!</f>
        <v>#REF!</v>
      </c>
      <c r="H68" s="2"/>
    </row>
    <row r="69" spans="2:8">
      <c r="B69" s="22" t="str">
        <f>'ACN Listino licenze'!B40</f>
        <v>HA RED HAT</v>
      </c>
      <c r="C69" s="23">
        <f>'ACN Listino licenze'!C40</f>
        <v>319</v>
      </c>
      <c r="D69" s="23">
        <f>'ACN Listino licenze'!D40</f>
        <v>389.18</v>
      </c>
      <c r="E69" s="22" t="e">
        <f>'ACN Costo Infra'!#REF!</f>
        <v>#REF!</v>
      </c>
      <c r="F69" s="22"/>
      <c r="G69" s="23" t="e">
        <f>'ACN Costo Infra'!#REF!</f>
        <v>#REF!</v>
      </c>
      <c r="H69" s="2"/>
    </row>
    <row r="70" spans="2:8">
      <c r="B70" s="25"/>
      <c r="C70" s="31"/>
      <c r="D70" s="31"/>
      <c r="E70" s="25"/>
      <c r="F70" s="25"/>
      <c r="G70" s="31"/>
      <c r="H70" s="30" t="e">
        <f>SUM(G68:G70)</f>
        <v>#REF!</v>
      </c>
    </row>
    <row r="73" spans="2:8">
      <c r="B73" s="24" t="s">
        <v>463</v>
      </c>
      <c r="C73" s="27" t="s">
        <v>434</v>
      </c>
      <c r="D73" s="27" t="s">
        <v>435</v>
      </c>
      <c r="E73" s="4" t="s">
        <v>656</v>
      </c>
      <c r="F73" s="4"/>
      <c r="G73" s="27" t="s">
        <v>655</v>
      </c>
      <c r="H73" s="2"/>
    </row>
    <row r="74" spans="2:8">
      <c r="B74" s="22" t="str">
        <f>'ACN Listino licenze'!B44</f>
        <v>Certificato SSL</v>
      </c>
      <c r="C74" s="23">
        <f>'ACN Listino licenze'!C44</f>
        <v>885</v>
      </c>
      <c r="D74" s="23">
        <f>'ACN Listino licenze'!D44</f>
        <v>1079.7</v>
      </c>
      <c r="E74" s="22" t="e">
        <f>'ACN Costo Infra'!#REF!</f>
        <v>#REF!</v>
      </c>
      <c r="F74" s="22"/>
      <c r="G74" s="23" t="e">
        <f>'ACN Costo Infra'!#REF!</f>
        <v>#REF!</v>
      </c>
      <c r="H74" s="2"/>
    </row>
    <row r="75" spans="2:8">
      <c r="B75" s="22" t="str">
        <f>'ACN Listino licenze'!B45</f>
        <v>MQ - PVU</v>
      </c>
      <c r="C75" s="23">
        <f>'ACN Listino licenze'!C45</f>
        <v>22.04</v>
      </c>
      <c r="D75" s="23">
        <f>'ACN Listino licenze'!D45</f>
        <v>28.741847368421048</v>
      </c>
      <c r="E75" s="22" t="e">
        <f>'ACN Costo Infra'!#REF!+'ACN Costo Infra'!#REF!</f>
        <v>#REF!</v>
      </c>
      <c r="F75" s="22"/>
      <c r="G75" s="23" t="e">
        <f>'ACN Costo Infra'!#REF!+'ACN Costo Infra'!#REF!</f>
        <v>#REF!</v>
      </c>
      <c r="H75" s="2"/>
    </row>
    <row r="76" spans="2:8" customFormat="1">
      <c r="B76" s="22" t="s">
        <v>674</v>
      </c>
      <c r="C76" s="23"/>
      <c r="D76" s="23"/>
      <c r="E76" s="22"/>
      <c r="F76" s="22"/>
      <c r="G76" s="23"/>
      <c r="H76" s="2"/>
    </row>
    <row r="77" spans="2:8">
      <c r="B77" s="25" t="e">
        <f>'ACN Listino licenze'!#REF!</f>
        <v>#REF!</v>
      </c>
      <c r="C77" s="31" t="e">
        <f>'ACN Listino licenze'!#REF!</f>
        <v>#REF!</v>
      </c>
      <c r="D77" s="31" t="e">
        <f>'ACN Listino licenze'!#REF!</f>
        <v>#REF!</v>
      </c>
      <c r="E77" s="25" t="e">
        <f>'ACN Listino licenze'!#REF!</f>
        <v>#REF!</v>
      </c>
      <c r="F77" s="25"/>
      <c r="G77" s="31" t="e">
        <f>'ACN Listino licenze'!#REF!</f>
        <v>#REF!</v>
      </c>
      <c r="H77" s="30" t="e">
        <f>SUM(G74:G77)</f>
        <v>#REF!</v>
      </c>
    </row>
    <row r="79" spans="2:8">
      <c r="B79" s="35" t="s">
        <v>455</v>
      </c>
      <c r="C79" s="36" t="s">
        <v>675</v>
      </c>
      <c r="D79" s="36" t="s">
        <v>676</v>
      </c>
      <c r="E79" s="36" t="s">
        <v>656</v>
      </c>
      <c r="F79" s="36"/>
      <c r="G79" s="36" t="s">
        <v>677</v>
      </c>
      <c r="H79" s="2"/>
    </row>
    <row r="80" spans="2:8">
      <c r="B80" s="29" t="s">
        <v>456</v>
      </c>
      <c r="C80" s="28">
        <v>489.65</v>
      </c>
      <c r="D80" s="28">
        <v>597.37</v>
      </c>
      <c r="E80" s="25" t="e">
        <f>'ACN Costo Infra'!#REF!</f>
        <v>#REF!</v>
      </c>
      <c r="F80" s="37"/>
      <c r="G80" s="31" t="e">
        <f>'ACN Costo Infra'!#REF!</f>
        <v>#REF!</v>
      </c>
      <c r="H80" s="30" t="e">
        <f>G80</f>
        <v>#REF!</v>
      </c>
    </row>
    <row r="82" spans="1:10" ht="15" thickBot="1">
      <c r="A82" s="1"/>
      <c r="B82" s="1"/>
      <c r="C82" s="15"/>
      <c r="D82" s="15"/>
      <c r="E82" s="15"/>
      <c r="F82" s="15"/>
      <c r="G82" s="1"/>
      <c r="H82" s="1"/>
      <c r="I82" s="15"/>
      <c r="J82" s="15"/>
    </row>
    <row r="83" spans="1:10" ht="15" thickTop="1"/>
    <row r="84" spans="1:10">
      <c r="B84" t="s">
        <v>678</v>
      </c>
      <c r="J84" s="10" t="e">
        <f>SUM(H33:H80)</f>
        <v>#REF!</v>
      </c>
    </row>
    <row r="85" spans="1:10" ht="15" thickBot="1">
      <c r="A85" s="1"/>
      <c r="B85" s="1"/>
      <c r="C85" s="15"/>
      <c r="D85" s="15"/>
      <c r="E85" s="15"/>
      <c r="F85" s="15"/>
      <c r="G85" s="1"/>
      <c r="H85" s="1"/>
      <c r="I85" s="15"/>
      <c r="J85" s="15"/>
    </row>
    <row r="86" spans="1:10" ht="15" thickTop="1"/>
    <row r="88" spans="1:10">
      <c r="B88" s="3" t="s">
        <v>655</v>
      </c>
      <c r="J88" s="10" t="e">
        <f>J84+J28</f>
        <v>#REF!</v>
      </c>
    </row>
  </sheetData>
  <pageMargins left="0.7" right="0.7" top="0.75" bottom="0.75" header="0.3" footer="0.3"/>
  <pageSetup paperSize="9" orientation="portrait" r:id="rId1"/>
  <headerFooter>
    <oddFooter>&amp;C_x000D_&amp;1#&amp;"Aptos"&amp;10&amp;K3CB371 Crédit Agricole Italia - Pubblico</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BF8BE4B2E9BC04C96A084A16BF4E9DC" ma:contentTypeVersion="4" ma:contentTypeDescription="Create a new document." ma:contentTypeScope="" ma:versionID="3ffa0a60e6cbf09edb101e333b2c8923">
  <xsd:schema xmlns:xsd="http://www.w3.org/2001/XMLSchema" xmlns:xs="http://www.w3.org/2001/XMLSchema" xmlns:p="http://schemas.microsoft.com/office/2006/metadata/properties" xmlns:ns1="http://schemas.microsoft.com/sharepoint/v3" targetNamespace="http://schemas.microsoft.com/office/2006/metadata/properties" ma:root="true" ma:fieldsID="5b5c7d5cf42884e576c776c47039b0fd" ns1:_="">
    <xsd:import namespace="http://schemas.microsoft.com/sharepoint/v3"/>
    <xsd:element name="properties">
      <xsd:complexType>
        <xsd:sequence>
          <xsd:element name="documentManagement">
            <xsd:complexType>
              <xsd:all>
                <xsd:element ref="ns1:_dlc_Exemp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8" nillable="true" ma:displayName="Exempt from Policy" ma:hidden="true" ma:internalName="_dlc_Exempt"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p:Policy xmlns:p="office.server.policy" id="" local="true">
  <p:Name>Document</p:Name>
  <p:Description/>
  <p:Statement/>
  <p:PolicyItems>
    <p:PolicyItem featureId="Microsoft.Office.RecordsManagement.PolicyFeatures.PolicyAudit" staticId="0x0101|254968459" UniqueId="7540cdef-3095-4a06-b610-d1db2e596127">
      <p:Name>Auditing</p:Name>
      <p:Description>Audits user actions on documents and list items to the Audit Log.</p:Description>
      <p:CustomData>
        <Audit>
          <Update/>
          <View/>
          <DeleteRestore/>
        </Audit>
      </p:CustomData>
    </p:PolicyItem>
  </p:PolicyItems>
</p:Policy>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mso-contentType ?>
<SharedContentType xmlns="Microsoft.SharePoint.Taxonomy.ContentTypeSync" SourceId="61088218-43d3-49a4-a994-41f429656734" ContentTypeId="0x0101" PreviousValue="false"/>
</file>

<file path=customXml/item6.xml><?xml version="1.0" encoding="utf-8"?>
<?mso-contentType ?>
<spe:Receivers xmlns:spe="http://schemas.microsoft.com/sharepoint/events">
  <Receiver>
    <Name>Policy Auditing</Name>
    <Synchronization>Synchronous</Synchronization>
    <Type>10001</Type>
    <SequenceNumber>1100</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Version=16.0.0.0, Culture=neutral, PublicKeyToken=71e9bce111e9429c</Assembly>
    <Class>Microsoft.Office.RecordsManagement.Internal.AuditHandler</Class>
    <Data/>
    <Filter/>
  </Receiver>
</spe:Receivers>
</file>

<file path=customXml/itemProps1.xml><?xml version="1.0" encoding="utf-8"?>
<ds:datastoreItem xmlns:ds="http://schemas.openxmlformats.org/officeDocument/2006/customXml" ds:itemID="{CE0E0D75-EE6E-40A8-B255-CFE568167ACC}">
  <ds:schemaRefs>
    <ds:schemaRef ds:uri="http://schemas.microsoft.com/office/2006/metadata/properties"/>
    <ds:schemaRef ds:uri="http://schemas.microsoft.com/sharepoint/v3"/>
    <ds:schemaRef ds:uri="http://www.w3.org/XML/1998/namespace"/>
    <ds:schemaRef ds:uri="http://schemas.microsoft.com/office/2006/documentManagement/types"/>
    <ds:schemaRef ds:uri="http://purl.org/dc/terms/"/>
    <ds:schemaRef ds:uri="http://purl.org/dc/dcmitype/"/>
    <ds:schemaRef ds:uri="http://purl.org/dc/elements/1.1/"/>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F3DA5CBB-7C2D-4202-ABEF-B782940B5DE5}"/>
</file>

<file path=customXml/itemProps3.xml><?xml version="1.0" encoding="utf-8"?>
<ds:datastoreItem xmlns:ds="http://schemas.openxmlformats.org/officeDocument/2006/customXml" ds:itemID="{C1C72C97-D1DB-4030-B497-9C818A903B51}">
  <ds:schemaRefs>
    <ds:schemaRef ds:uri="office.server.policy"/>
  </ds:schemaRefs>
</ds:datastoreItem>
</file>

<file path=customXml/itemProps4.xml><?xml version="1.0" encoding="utf-8"?>
<ds:datastoreItem xmlns:ds="http://schemas.openxmlformats.org/officeDocument/2006/customXml" ds:itemID="{EF8F6873-0E49-45EF-AF85-1AE4D989113D}">
  <ds:schemaRefs>
    <ds:schemaRef ds:uri="http://schemas.microsoft.com/sharepoint/v3/contenttype/forms"/>
  </ds:schemaRefs>
</ds:datastoreItem>
</file>

<file path=customXml/itemProps5.xml><?xml version="1.0" encoding="utf-8"?>
<ds:datastoreItem xmlns:ds="http://schemas.openxmlformats.org/officeDocument/2006/customXml" ds:itemID="{8B16FA72-78B5-4DA5-9EED-AEFB76B7942A}">
  <ds:schemaRefs>
    <ds:schemaRef ds:uri="Microsoft.SharePoint.Taxonomy.ContentTypeSync"/>
  </ds:schemaRefs>
</ds:datastoreItem>
</file>

<file path=customXml/itemProps6.xml><?xml version="1.0" encoding="utf-8"?>
<ds:datastoreItem xmlns:ds="http://schemas.openxmlformats.org/officeDocument/2006/customXml" ds:itemID="{35F46A54-9F23-4486-8B1C-DF653420A95B}">
  <ds:schemaRefs>
    <ds:schemaRef ds:uri="http://schemas.microsoft.com/sharepoint/events"/>
  </ds:schemaRefs>
</ds:datastoreItem>
</file>

<file path=docMetadata/LabelInfo.xml><?xml version="1.0" encoding="utf-8"?>
<clbl:labelList xmlns:clbl="http://schemas.microsoft.com/office/2020/mipLabelMetadata">
  <clbl:label id="{46bdcdc3-0269-4956-afc7-5dbf3ac3b2c1}" enabled="1" method="Privileged" siteId="{7d5fa3eb-ec46-4a26-b218-5b6b3a14139d}" contentBits="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CariParma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j08538</dc:creator>
  <cp:keywords/>
  <dc:description/>
  <cp:lastModifiedBy>Celauro Daniele</cp:lastModifiedBy>
  <cp:revision/>
  <dcterms:created xsi:type="dcterms:W3CDTF">2013-05-17T14:12:21Z</dcterms:created>
  <dcterms:modified xsi:type="dcterms:W3CDTF">2026-04-28T18:31:13Z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0x0101006BF8BE4B2E9BC04C96A084A16BF4E9DC</vt:lpwstr>
  </property>
</Properties>
</file>